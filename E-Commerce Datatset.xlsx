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CF31D14-EBF6-4AE5-87D6-17876B60FEA5}" xr6:coauthVersionLast="47" xr6:coauthVersionMax="47" xr10:uidLastSave="{00000000-0000-0000-0000-000000000000}"/>
  <bookViews>
    <workbookView xWindow="-119" yWindow="-119" windowWidth="20517" windowHeight="10912" activeTab="2" xr2:uid="{00000000-000D-0000-FFFF-FFFF00000000}"/>
  </bookViews>
  <sheets>
    <sheet name="Original Data" sheetId="1" r:id="rId1"/>
    <sheet name="Cleaned Data" sheetId="2" r:id="rId2"/>
    <sheet name="Analysis|Insigh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E25" i="3"/>
  <c r="E6" i="3"/>
  <c r="E24" i="3"/>
  <c r="E18" i="3"/>
  <c r="E19" i="3"/>
  <c r="E13" i="3"/>
  <c r="E12" i="3"/>
  <c r="E11" i="3"/>
  <c r="E5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tc={3622326b-ab27-48af-ac95-25ab1460eae8}</author>
  </authors>
  <commentList>
    <comment ref="D42" authorId="0" shapeId="0" xr:uid="{3622326B-AB27-48AF-AC95-25AB1460EAE8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=trim
</t>
        </r>
      </text>
    </comment>
  </commentList>
</comments>
</file>

<file path=xl/sharedStrings.xml><?xml version="1.0" encoding="utf-8"?>
<sst xmlns="http://schemas.openxmlformats.org/spreadsheetml/2006/main" count="337" uniqueCount="172">
  <si>
    <t>Order_ID,Order_Date,Customer_Name,Gender,Age,State,Region,Product_SubCategory,Payment_Method,Quantity,Unit_Cost,Unit_Price,Shipping_Fee,Delivery_Status,Discount_Applied</t>
  </si>
  <si>
    <t>ORD-001,2025-01-10,Chidi Okafor,Male,28,Lagos,SW,Smartphones,Bank Transfer,2,120000,150000,2500,Delivered,0.05</t>
  </si>
  <si>
    <t>ORD-002,11/01/2025, Amina Bello,Female,34,Kano,NW,Groceries,POS,5,800,1200,1500,Delivered,0</t>
  </si>
  <si>
    <t>ORD-003,2025-01-12,funmi alao,Female,0,Oyo,  SW,Cosmetics,Cash,,3500,5000,2000,Pending,0.1</t>
  </si>
  <si>
    <t>ORD-004,13-01-2025,Tunde Bakare,Male,45,Lagoss,SW,Laptops,Card,1,280000,350000,5000,Returned,0</t>
  </si>
  <si>
    <t>ORD-005,2025/01/14,Blessing Udoh,Female,22,Akwa Ibom,SS,Footwear,Bank Transfer,3,6000,9000,2500,Shipped,</t>
  </si>
  <si>
    <t>ORD-006,15/01/2025,Emeka Nwosu,Male,-5,Rivers,SS,Smartphones,POS,,110000,140000,3000,Delivered,0.05</t>
  </si>
  <si>
    <t>ORD-007,2025-01-16,Yusuf Ali,Male,150,Kano,NW,groceries,Cash,4,1500,2500,1500,Pending,0</t>
  </si>
  <si>
    <t>ORD-008, 17-01-2025 ,chioma upson,Female,29,Anambra,SE,Clothing,Card,-2,4500,8000,2000,Delivered,0.15</t>
  </si>
  <si>
    <t>ORD-009,2025-01-18,Abubakar Musa,Male,31,Kaduna,NC,Laptops,Bank Transfer,1,250000,320000,4500,Returned,0</t>
  </si>
  <si>
    <t>ORD-010,19/01/2025,TOPE ALABI,Female,40,Ogun,SW,Cosmetics,POS,2,3000,4500,2000,Shipped,</t>
  </si>
  <si>
    <t>ORD-011,2025-01-20,Oluwaseun Ajayi,Male,37,Lagos,sw,Smartphones,Card,1,130000,165000,2500,Delivered,0.05</t>
  </si>
  <si>
    <t>ORD-012,21-01-2025,Kabiru Gaya,Male,52,Kano,NW,Groceries,Cash,12,600,900,1500,Delivered,0</t>
  </si>
  <si>
    <t>ORD-013,2025/01/22,Amara Eke,Female,25, Lagoss,SE,Footwear,Bank Transfer,-1,7000,11000,2500,Returned,0.1</t>
  </si>
  <si>
    <t>ORD-014,23/01/2025,Segun Arinze,Male,48,Rivers,SS,Laptops,POS,1,300000,380000,5000,Delivered,0</t>
  </si>
  <si>
    <t>ORD-015,2025-01-24,Precious Joshua,Female,23,Delta,SS,groceries,Card,8,1000,1600,2000,Pending,0.05</t>
  </si>
  <si>
    <t>ORD-016,25/01/2025,Ibrahim Musa,Male,33,FCT,NC,Cosmetics,Bank Transfer,3,4000,6500,2000,Delivered,0</t>
  </si>
  <si>
    <t>ORD-017,2025-01-26,Yetunde Baba,Female,0,Oyo,SW,Smartphones,POS,1,125000,155000,2500,Shipped,0.1</t>
  </si>
  <si>
    <t>ORD-018,27-01-2025,Chinedu Obi,Male,30,Anambra,SE,Footwear,Cash,2,5500,8500,2500,Delivered,0</t>
  </si>
  <si>
    <t>ORD-019,2025/01/28,Fatima Umar,Female,27,Kaduna,NW,Laptops,Card,,260000,330000,4500,Delivered,0.05</t>
  </si>
  <si>
    <t>ORD-020,29/01/2025,Efe Johnson,Male,150,Delta,SS,Groceries,Bank Transfer,6,900,1400,2000,Pending,</t>
  </si>
  <si>
    <t>ORD-021,2025-01-30,Bisi Adebayo,Female,35,Lagos,SW,Cosmetics,POS,-1,3500,5500,2000,Returned,0</t>
  </si>
  <si>
    <t>ORD-022,31-01-2025,olumide awosika,Male,42,Ondo,SW,Smartphones,Cash,2,115000,145000,2500,Delivered,0.15</t>
  </si>
  <si>
    <t>ORD-023,2025-02-01,Chinelo Okoro,Female,24,Enugu,SE,Groceries,Card,10,700,1100,2000,Shipped,0</t>
  </si>
  <si>
    <t>ORD-024,02/02/2025,Uche Silva,Male,-5,Edo,SS,Footwear,Bank Transfer,1,8000,12000,2500,Delivered,0.05</t>
  </si>
  <si>
    <t>ORD-025,2025-02-03,Nike Adekunle,Female,32,Lagos,SW,Laptops,POS,1,290000,370000,5000,Delivered,0</t>
  </si>
  <si>
    <t>ORD-026,04-02-2025,Zainab Haruna,Female,21,Kano,NW,groceries,Cash,15,500,800,1500,Returned,0.1</t>
  </si>
  <si>
    <t>ORD-027,2025/02/05,Festus Keyamo,Male,50,Delta,SS,Smartphones,Card,2,140000,180000,3000,Delivered,0</t>
  </si>
  <si>
    <t>ORD-028,06/02/2025,Omotola Jalade,Female,44,Lagos,SW,Cosmetics,Bank Transfer,,5000,7500,2000,Pending,0.05</t>
  </si>
  <si>
    <t>ORD-029,2025-02-07,Wasiu Ayinde,Male,55,Ogun,SW,Footwear,POS,3,6500,10000,2500,Delivered,</t>
  </si>
  <si>
    <t>ORD-030,08-02-2025,Simi Kosoko,Female,28,Lagos,SW,Laptops,Card,1,270000,340000,4500,Shipped,0</t>
  </si>
  <si>
    <t>ORD-031,2025-02-09,Davido Adeleke,Male,31,Osun,SW,Groceries,Cash,-4,1000,1500,2000,Delivered,0.2</t>
  </si>
  <si>
    <t>ORD-032,10/02/2025,Tiwa Savage,Female,43,Lagos,SW,Smartphones,Bank Transfer,1,150000,195000,2500,Returned,0</t>
  </si>
  <si>
    <t>ORD-033,2025-02-11,Burna Boy,Male,32,Rivers,SS,Footwear,POS,2,7500,11500,2500,Delivered,0.05</t>
  </si>
  <si>
    <t>Order_ID</t>
  </si>
  <si>
    <t>Order_Date</t>
  </si>
  <si>
    <t>Customer_Name</t>
  </si>
  <si>
    <t>Gender</t>
  </si>
  <si>
    <t>Age</t>
  </si>
  <si>
    <t>State</t>
  </si>
  <si>
    <t>Region</t>
  </si>
  <si>
    <t>Product_SubCategory</t>
  </si>
  <si>
    <t>Payment_Method</t>
  </si>
  <si>
    <t>Quantity</t>
  </si>
  <si>
    <t>Unit_Cost</t>
  </si>
  <si>
    <t>Unit_Price</t>
  </si>
  <si>
    <t>Shipping_Fee</t>
  </si>
  <si>
    <t>Delivery_Status</t>
  </si>
  <si>
    <t>Discount_Applied</t>
  </si>
  <si>
    <t>ORD-001</t>
  </si>
  <si>
    <t>Chidi Okafor</t>
  </si>
  <si>
    <t>Male</t>
  </si>
  <si>
    <t>Lagos</t>
  </si>
  <si>
    <t>SW</t>
  </si>
  <si>
    <t>Smartphones</t>
  </si>
  <si>
    <t>Bank Transfer</t>
  </si>
  <si>
    <t>Delivered</t>
  </si>
  <si>
    <t>ORD-002</t>
  </si>
  <si>
    <t>Female</t>
  </si>
  <si>
    <t>Kano</t>
  </si>
  <si>
    <t>NW</t>
  </si>
  <si>
    <t>Groceries</t>
  </si>
  <si>
    <t>POS</t>
  </si>
  <si>
    <t>ORD-003</t>
  </si>
  <si>
    <t>Oyo</t>
  </si>
  <si>
    <t>Cosmetics</t>
  </si>
  <si>
    <t>Cash</t>
  </si>
  <si>
    <t>Pending</t>
  </si>
  <si>
    <t>ORD-004</t>
  </si>
  <si>
    <t>Tunde Bakare</t>
  </si>
  <si>
    <t>Laptops</t>
  </si>
  <si>
    <t>Card</t>
  </si>
  <si>
    <t>Returned</t>
  </si>
  <si>
    <t>ORD-005</t>
  </si>
  <si>
    <t>Blessing Udoh</t>
  </si>
  <si>
    <t>Akwa Ibom</t>
  </si>
  <si>
    <t>SS</t>
  </si>
  <si>
    <t>Footwear</t>
  </si>
  <si>
    <t>Shipped</t>
  </si>
  <si>
    <t>ORD-006</t>
  </si>
  <si>
    <t>Emeka Nwosu</t>
  </si>
  <si>
    <t>Rivers</t>
  </si>
  <si>
    <t>ORD-007</t>
  </si>
  <si>
    <t>Yusuf Ali</t>
  </si>
  <si>
    <t>ORD-008</t>
  </si>
  <si>
    <t>Anambra</t>
  </si>
  <si>
    <t>SE</t>
  </si>
  <si>
    <t>Clothing</t>
  </si>
  <si>
    <t>ORD-009</t>
  </si>
  <si>
    <t>Abubakar Musa</t>
  </si>
  <si>
    <t>Kaduna</t>
  </si>
  <si>
    <t>NC</t>
  </si>
  <si>
    <t>ORD-010</t>
  </si>
  <si>
    <t>Ogun</t>
  </si>
  <si>
    <t>ORD-011</t>
  </si>
  <si>
    <t>Oluwaseun Ajayi</t>
  </si>
  <si>
    <t>ORD-012</t>
  </si>
  <si>
    <t>Kabiru Gaya</t>
  </si>
  <si>
    <t>ORD-013</t>
  </si>
  <si>
    <t>Amara Eke</t>
  </si>
  <si>
    <t>ORD-014</t>
  </si>
  <si>
    <t>Segun Arinze</t>
  </si>
  <si>
    <t>ORD-015</t>
  </si>
  <si>
    <t>Precious Joshua</t>
  </si>
  <si>
    <t>Delta</t>
  </si>
  <si>
    <t>ORD-016</t>
  </si>
  <si>
    <t>Ibrahim Musa</t>
  </si>
  <si>
    <t>FCT</t>
  </si>
  <si>
    <t>ORD-017</t>
  </si>
  <si>
    <t>Yetunde Baba</t>
  </si>
  <si>
    <t>ORD-018</t>
  </si>
  <si>
    <t>Chinedu Obi</t>
  </si>
  <si>
    <t>ORD-019</t>
  </si>
  <si>
    <t>Fatima Umar</t>
  </si>
  <si>
    <t>ORD-020</t>
  </si>
  <si>
    <t>Efe Johnson</t>
  </si>
  <si>
    <t>ORD-021</t>
  </si>
  <si>
    <t>Bisi Adebayo</t>
  </si>
  <si>
    <t>ORD-022</t>
  </si>
  <si>
    <t>Ondo</t>
  </si>
  <si>
    <t>ORD-023</t>
  </si>
  <si>
    <t>Chinelo Okoro</t>
  </si>
  <si>
    <t>Enugu</t>
  </si>
  <si>
    <t>ORD-024</t>
  </si>
  <si>
    <t>Uche Silva</t>
  </si>
  <si>
    <t>Edo</t>
  </si>
  <si>
    <t>ORD-025</t>
  </si>
  <si>
    <t>Nike Adekunle</t>
  </si>
  <si>
    <t>ORD-026</t>
  </si>
  <si>
    <t>Zainab Haruna</t>
  </si>
  <si>
    <t>ORD-027</t>
  </si>
  <si>
    <t>Festus Keyamo</t>
  </si>
  <si>
    <t>ORD-028</t>
  </si>
  <si>
    <t>Omotola Jalade</t>
  </si>
  <si>
    <t>ORD-029</t>
  </si>
  <si>
    <t>Wasiu Ayinde</t>
  </si>
  <si>
    <t>ORD-030</t>
  </si>
  <si>
    <t>Simi Kosoko</t>
  </si>
  <si>
    <t>ORD-031</t>
  </si>
  <si>
    <t>Davido Adeleke</t>
  </si>
  <si>
    <t>Osun</t>
  </si>
  <si>
    <t>ORD-032</t>
  </si>
  <si>
    <t>Tiwa Savage</t>
  </si>
  <si>
    <t>ORD-033</t>
  </si>
  <si>
    <t>Burna Boy</t>
  </si>
  <si>
    <t xml:space="preserve"> Lagos</t>
  </si>
  <si>
    <t>Amina Bello</t>
  </si>
  <si>
    <t>Funmi Alao</t>
  </si>
  <si>
    <t>Chioma Upson</t>
  </si>
  <si>
    <t>Tope Alabi</t>
  </si>
  <si>
    <t>Olumide Awosika</t>
  </si>
  <si>
    <t>BUSINESS ANALYSIS FIELD</t>
  </si>
  <si>
    <t xml:space="preserve">The Cumulative total of all shipping fee </t>
  </si>
  <si>
    <t>Sales_Amount</t>
  </si>
  <si>
    <t>Average Age of Customer utilizing the Platform</t>
  </si>
  <si>
    <t>Lowest unit price for any single item in the platform</t>
  </si>
  <si>
    <t>Highest individual Sales_Amount for a single transaction</t>
  </si>
  <si>
    <t>The Basic</t>
  </si>
  <si>
    <t>Single Criterion filtering</t>
  </si>
  <si>
    <t>Multi-Criteria filtering</t>
  </si>
  <si>
    <t>Total Sales amount generated by smartphones in South West</t>
  </si>
  <si>
    <t>Bonus Question</t>
  </si>
  <si>
    <t>Number of completed order made by young professionals under the age of 35</t>
  </si>
  <si>
    <t>Total Revenue from quantity less than 5 and order is "Pending"</t>
  </si>
  <si>
    <t>How Many total order has a "Returned" delivery status?</t>
  </si>
  <si>
    <t>Total Sales amount generated from using "Bank Transfer"?</t>
  </si>
  <si>
    <t>Number of unique order placed by females residing in Kano state</t>
  </si>
  <si>
    <t>The average unit cost for laptops</t>
  </si>
  <si>
    <r>
      <t xml:space="preserve">INSIGHTS:  An analysis of the e-commerce platform has a total of 33 orders, generating 3,417,999 in total revenue. This e-commerce platform attracts mature demographic on the average age of 36 capable of purchasing laptops on the average cost of 275,000.                                                                                         Smartphones is a massive driver in the business platform generating 1,465,000 and laptops had total of 1,760,000. While laptops had the highest profit value, smartphones in southwest has a high ordering value. It is also  found that females had a total order amount of 1,170,300 while  the male had  the leading amount of  2,301,699.      </t>
    </r>
    <r>
      <rPr>
        <b/>
        <i/>
        <sz val="14"/>
        <color theme="0"/>
        <rFont val="Gabriola"/>
        <family val="5"/>
      </rPr>
      <t xml:space="preserve">                                                                        </t>
    </r>
  </si>
  <si>
    <t>KODECAMP E-COMMERCE PLATFORM</t>
  </si>
  <si>
    <t>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</si>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</sst>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&quot;₦&quot;#,##0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Georgia"/>
      <family val="1"/>
    </font>
    <font>
      <b/>
      <sz val="12"/>
      <color rgb="FF000000"/>
      <name val="Georgia"/>
      <family val="1"/>
    </font>
    <font>
      <b/>
      <sz val="16"/>
      <color theme="0"/>
      <name val="Georgia"/>
      <family val="1"/>
    </font>
    <font>
      <b/>
      <sz val="11"/>
      <color rgb="FF000000"/>
      <name val="Georgia"/>
      <family val="1"/>
    </font>
    <font>
      <sz val="10"/>
      <color rgb="FF000000"/>
      <name val="Georgia"/>
      <family val="1"/>
    </font>
    <font>
      <sz val="10"/>
      <color rgb="FF000000"/>
      <name val="Arial"/>
      <family val="2"/>
      <scheme val="minor"/>
    </font>
    <font>
      <b/>
      <sz val="14"/>
      <color theme="0"/>
      <name val="Gabriola"/>
      <family val="5"/>
    </font>
    <font>
      <b/>
      <i/>
      <sz val="14"/>
      <color theme="0"/>
      <name val="Gabriola"/>
      <family val="5"/>
    </font>
    <font>
      <b/>
      <sz val="16"/>
      <color rgb="FF000000"/>
      <name val="Georgia"/>
      <family val="1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9" fillId="5" borderId="1" applyNumberFormat="0" applyFont="0" applyAlignment="0" applyProtection="0"/>
    <xf numFmtId="9" fontId="1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44" fontId="0" fillId="0" borderId="0" xfId="0" applyNumberFormat="1"/>
    <xf numFmtId="164" fontId="0" fillId="0" borderId="0" xfId="1" applyNumberFormat="1" applyFont="1"/>
    <xf numFmtId="0" fontId="0" fillId="0" borderId="2" xfId="0" applyBorder="1"/>
    <xf numFmtId="0" fontId="0" fillId="0" borderId="7" xfId="0" applyBorder="1"/>
    <xf numFmtId="1" fontId="0" fillId="0" borderId="2" xfId="0" applyNumberFormat="1" applyBorder="1"/>
    <xf numFmtId="0" fontId="0" fillId="0" borderId="9" xfId="0" applyBorder="1"/>
    <xf numFmtId="164" fontId="0" fillId="0" borderId="2" xfId="0" applyNumberFormat="1" applyBorder="1"/>
    <xf numFmtId="164" fontId="0" fillId="0" borderId="3" xfId="1" applyNumberFormat="1" applyFont="1" applyBorder="1"/>
    <xf numFmtId="164" fontId="0" fillId="0" borderId="6" xfId="0" applyNumberFormat="1" applyBorder="1"/>
    <xf numFmtId="164" fontId="0" fillId="0" borderId="2" xfId="1" applyNumberFormat="1" applyFont="1" applyBorder="1"/>
    <xf numFmtId="164" fontId="0" fillId="0" borderId="8" xfId="1" applyNumberFormat="1" applyFont="1" applyBorder="1"/>
    <xf numFmtId="0" fontId="0" fillId="0" borderId="0" xfId="0" applyAlignment="1">
      <alignment vertical="center"/>
    </xf>
    <xf numFmtId="1" fontId="0" fillId="0" borderId="0" xfId="0" applyNumberFormat="1"/>
    <xf numFmtId="49" fontId="0" fillId="0" borderId="0" xfId="0" applyNumberFormat="1"/>
    <xf numFmtId="9" fontId="0" fillId="0" borderId="0" xfId="3" applyFont="1"/>
    <xf numFmtId="0" fontId="4" fillId="6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7" borderId="0" xfId="2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</cellXfs>
  <cellStyles count="4">
    <cellStyle name="Comma" xfId="1" builtinId="3"/>
    <cellStyle name="Normal" xfId="0" builtinId="0"/>
    <cellStyle name="Note" xfId="2" builtinId="10"/>
    <cellStyle name="Percent" xfId="3" builtinId="5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-0.24994659260841701"/>
        </patternFill>
      </fill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" formatCode="0"/>
    </dxf>
    <dxf>
      <numFmt numFmtId="30" formatCode="@"/>
    </dxf>
    <dxf>
      <numFmt numFmtId="30" formatCode="@"/>
    </dxf>
    <dxf>
      <numFmt numFmtId="19" formatCode="dd/mm/yyyy"/>
    </dxf>
  </dxfs>
  <tableStyles count="1" defaultTableStyle="TableStyleMedium2" defaultPivotStyle="PivotStyleLight16">
    <tableStyle name="Invisible" pivot="0" table="0" count="0" xr9:uid="{57A5A1FC-76F7-4623-8AE8-437264D809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143123</xdr:colOff>
      <xdr:row>0</xdr:row>
      <xdr:rowOff>0</xdr:rowOff>
    </xdr:from>
    <xdr:to>
      <xdr:col>10</xdr:col>
      <xdr:colOff>628152</xdr:colOff>
      <xdr:row>2</xdr:row>
      <xdr:rowOff>7951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FC6CDA1-0C42-E3AE-E76A-361FD180ABD4}"/>
            </a:ext>
          </a:extLst>
        </xdr:cNvPr>
        <xdr:cNvSpPr/>
      </xdr:nvSpPr>
      <xdr:spPr>
        <a:xfrm>
          <a:off x="7402664" y="0"/>
          <a:ext cx="2488758" cy="500932"/>
        </a:xfrm>
        <a:prstGeom prst="round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KODECAMP E-COMMERCE PLATFORM         (HELEN)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Christopher Favour" id="{41855359-e693-4351-8431-1b684b4a0231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25A11-788E-4E71-BC3C-63B6764C0834}" name="Table1" displayName="Table1" ref="A2:R35" totalsRowShown="0">
  <autoFilter ref="A2:R35" xr:uid="{CDF25A11-788E-4E71-BC3C-63B6764C0834}"/>
  <tableColumns count="18">
    <tableColumn id="1" xr3:uid="{7F227304-2FE4-4B45-AFA5-4A93488317D7}" name="Order_ID"/>
    <tableColumn id="2" xr3:uid="{0EB149C2-F8B8-4055-A636-07FA326EEC93}" name="Order_Date" dataDxfId="13"/>
    <tableColumn id="3" xr3:uid="{4EC2B720-F52F-4486-9EFE-6D0112CF98F3}" name="Customer_Name"/>
    <tableColumn id="4" xr3:uid="{7A0F48D4-9F0D-49F8-AB03-FB529C3E8A3E}" name="Gender"/>
    <tableColumn id="5" xr3:uid="{6B6EC4F4-3E81-4635-B6B6-41B9967635A0}" name="Age"/>
    <tableColumn id="6" xr3:uid="{EAFB4D7C-A9B9-45B6-9F90-43555E959550}" name="State"/>
    <tableColumn id="7" xr3:uid="{AE1B5995-7C8A-4EB2-B462-34C343230D76}" name="Region"/>
    <tableColumn id="8" xr3:uid="{A4E832AA-17CE-4795-9207-1BF3C2D782D7}" name="Product_SubCategory" dataDxfId="12"/>
    <tableColumn id="9" xr3:uid="{FC340C27-211E-495D-B731-E21759D10603}" name="Payment_Method" dataDxfId="11"/>
    <tableColumn id="10" xr3:uid="{B41DD66D-71FB-4C80-B8B0-B56D59B5BA19}" name="Quantity" dataDxfId="10"/>
    <tableColumn id="11" xr3:uid="{A1F22991-24FD-4AFF-A843-31C410987E83}" name="Unit_Cost" dataDxfId="9" dataCellStyle="Comma"/>
    <tableColumn id="12" xr3:uid="{DAFF051B-A22A-45EE-BA42-57BCBE1C2C0D}" name="Unit_Price" dataDxfId="8" dataCellStyle="Comma"/>
    <tableColumn id="18" xr3:uid="{9FDD9CFD-DD23-4CC8-844A-113652AAC498}" name="Sales_Amount" dataDxfId="7" dataCellStyle="Comma"/>
    <tableColumn id="13" xr3:uid="{F87E5530-594E-4F04-A27E-CC33D161E743}" name="Shipping_Fee" dataDxfId="6" dataCellStyle="Comma"/>
    <tableColumn id="14" xr3:uid="{74C2FC03-A971-4BF2-9C5B-1FCDA1366F16}" name="Delivery_Status"/>
    <tableColumn id="15" xr3:uid="{A0533AFB-5BC9-4EF6-B57C-6E6158E70F67}" name="Discount_Applied" dataCellStyle="Percent"/>
    <tableColumn id="17" xr3:uid="{DA56C10E-3296-4618-A357-E88CAF20EE32}" name="Cost" dataDxfId="5" dataCellStyle="Comma">
      <calculatedColumnFormula>Table1[[#This Row],[Unit_Cost]]*Table1[[#This Row],[Quantity]]</calculatedColumnFormula>
    </tableColumn>
    <tableColumn id="19" xr3:uid="{148C684C-C385-4222-B400-BA370854744C}" name="Profit" dataDxfId="4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2" dT="2026-05-22T21:02:26.00" personId="{41855359-e693-4351-8431-1b684b4a0231}" id="{3622326b-ab27-48af-ac95-25ab1460eae8}" done="0">
    <x18tc:text xml:space="preserve">=trim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2"/>
  <sheetViews>
    <sheetView workbookViewId="0">
      <selection activeCell="E14" sqref="E14"/>
    </sheetView>
  </sheetViews>
  <sheetFormatPr defaultColWidth="12.7109375" defaultRowHeight="15.8" customHeight="1" x14ac:dyDescent="0.2"/>
  <sheetData>
    <row r="1" spans="1:1" ht="15.8" customHeight="1" x14ac:dyDescent="0.2">
      <c r="A1" s="1" t="s">
        <v>0</v>
      </c>
    </row>
    <row r="2" spans="1:1" ht="15.8" customHeight="1" x14ac:dyDescent="0.2">
      <c r="A2" s="1" t="s">
        <v>1</v>
      </c>
    </row>
    <row r="3" spans="1:1" ht="15.8" customHeight="1" x14ac:dyDescent="0.2">
      <c r="A3" s="1" t="s">
        <v>2</v>
      </c>
    </row>
    <row r="4" spans="1:1" ht="15.8" customHeight="1" x14ac:dyDescent="0.2">
      <c r="A4" s="1" t="s">
        <v>3</v>
      </c>
    </row>
    <row r="5" spans="1:1" ht="15.8" customHeight="1" x14ac:dyDescent="0.2">
      <c r="A5" s="1" t="s">
        <v>4</v>
      </c>
    </row>
    <row r="6" spans="1:1" ht="15.8" customHeight="1" x14ac:dyDescent="0.2">
      <c r="A6" s="1" t="s">
        <v>5</v>
      </c>
    </row>
    <row r="7" spans="1:1" ht="15.8" customHeight="1" x14ac:dyDescent="0.2">
      <c r="A7" s="1" t="s">
        <v>6</v>
      </c>
    </row>
    <row r="8" spans="1:1" ht="15.8" customHeight="1" x14ac:dyDescent="0.2">
      <c r="A8" s="1" t="s">
        <v>2</v>
      </c>
    </row>
    <row r="9" spans="1:1" ht="15.8" customHeight="1" x14ac:dyDescent="0.2">
      <c r="A9" s="1" t="s">
        <v>7</v>
      </c>
    </row>
    <row r="10" spans="1:1" ht="15.8" customHeight="1" x14ac:dyDescent="0.2">
      <c r="A10" s="1" t="s">
        <v>8</v>
      </c>
    </row>
    <row r="11" spans="1:1" ht="15.8" customHeight="1" x14ac:dyDescent="0.2">
      <c r="A11" s="1" t="s">
        <v>9</v>
      </c>
    </row>
    <row r="12" spans="1:1" ht="15.8" customHeight="1" x14ac:dyDescent="0.2">
      <c r="A12" s="1" t="s">
        <v>10</v>
      </c>
    </row>
    <row r="13" spans="1:1" ht="15.8" customHeight="1" x14ac:dyDescent="0.2">
      <c r="A13" s="1" t="s">
        <v>11</v>
      </c>
    </row>
    <row r="14" spans="1:1" ht="15.8" customHeight="1" x14ac:dyDescent="0.2">
      <c r="A14" s="1" t="s">
        <v>12</v>
      </c>
    </row>
    <row r="15" spans="1:1" ht="15.8" customHeight="1" x14ac:dyDescent="0.2">
      <c r="A15" s="1" t="s">
        <v>13</v>
      </c>
    </row>
    <row r="16" spans="1:1" ht="12.65" x14ac:dyDescent="0.2">
      <c r="A16" s="1" t="s">
        <v>14</v>
      </c>
    </row>
    <row r="17" spans="1:1" ht="12.65" x14ac:dyDescent="0.2">
      <c r="A17" s="1" t="s">
        <v>4</v>
      </c>
    </row>
    <row r="18" spans="1:1" ht="12.65" x14ac:dyDescent="0.2">
      <c r="A18" s="1" t="s">
        <v>15</v>
      </c>
    </row>
    <row r="19" spans="1:1" ht="12.65" x14ac:dyDescent="0.2">
      <c r="A19" s="1" t="s">
        <v>16</v>
      </c>
    </row>
    <row r="20" spans="1:1" ht="12.65" x14ac:dyDescent="0.2">
      <c r="A20" s="1" t="s">
        <v>17</v>
      </c>
    </row>
    <row r="21" spans="1:1" ht="12.65" x14ac:dyDescent="0.2">
      <c r="A21" s="1" t="s">
        <v>18</v>
      </c>
    </row>
    <row r="22" spans="1:1" ht="12.65" x14ac:dyDescent="0.2">
      <c r="A22" s="1" t="s">
        <v>19</v>
      </c>
    </row>
    <row r="23" spans="1:1" ht="12.65" x14ac:dyDescent="0.2">
      <c r="A23" s="1" t="s">
        <v>20</v>
      </c>
    </row>
    <row r="24" spans="1:1" ht="12.65" x14ac:dyDescent="0.2">
      <c r="A24" s="1" t="s">
        <v>21</v>
      </c>
    </row>
    <row r="25" spans="1:1" ht="12.65" x14ac:dyDescent="0.2">
      <c r="A25" s="1" t="s">
        <v>22</v>
      </c>
    </row>
    <row r="26" spans="1:1" ht="12.65" x14ac:dyDescent="0.2">
      <c r="A26" s="1" t="s">
        <v>23</v>
      </c>
    </row>
    <row r="27" spans="1:1" ht="12.65" x14ac:dyDescent="0.2">
      <c r="A27" s="1" t="s">
        <v>24</v>
      </c>
    </row>
    <row r="28" spans="1:1" ht="12.65" x14ac:dyDescent="0.2">
      <c r="A28" s="1" t="s">
        <v>10</v>
      </c>
    </row>
    <row r="29" spans="1:1" ht="12.65" x14ac:dyDescent="0.2">
      <c r="A29" s="1" t="s">
        <v>25</v>
      </c>
    </row>
    <row r="30" spans="1:1" ht="12.65" x14ac:dyDescent="0.2">
      <c r="A30" s="1" t="s">
        <v>26</v>
      </c>
    </row>
    <row r="31" spans="1:1" ht="12.65" x14ac:dyDescent="0.2">
      <c r="A31" s="1" t="s">
        <v>27</v>
      </c>
    </row>
    <row r="32" spans="1:1" ht="12.65" x14ac:dyDescent="0.2">
      <c r="A32" s="1" t="s">
        <v>28</v>
      </c>
    </row>
    <row r="33" spans="1:4" ht="12.65" x14ac:dyDescent="0.2">
      <c r="A33" s="1" t="s">
        <v>29</v>
      </c>
    </row>
    <row r="34" spans="1:4" ht="12.65" x14ac:dyDescent="0.2">
      <c r="A34" s="1" t="s">
        <v>30</v>
      </c>
    </row>
    <row r="35" spans="1:4" ht="12.65" x14ac:dyDescent="0.2">
      <c r="A35" s="1" t="s">
        <v>31</v>
      </c>
    </row>
    <row r="36" spans="1:4" ht="12.65" x14ac:dyDescent="0.2">
      <c r="A36" s="1" t="s">
        <v>32</v>
      </c>
    </row>
    <row r="37" spans="1:4" ht="12.65" x14ac:dyDescent="0.2">
      <c r="A37" s="1" t="s">
        <v>33</v>
      </c>
    </row>
    <row r="42" spans="1:4" ht="15.8" customHeight="1" x14ac:dyDescent="0.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2D30-4CED-4281-9F01-5B0CD5C28117}">
  <dimension ref="A1:R35"/>
  <sheetViews>
    <sheetView topLeftCell="I1" workbookViewId="0">
      <selection activeCell="R5" sqref="R5"/>
    </sheetView>
  </sheetViews>
  <sheetFormatPr defaultRowHeight="12.65" x14ac:dyDescent="0.2"/>
  <cols>
    <col min="1" max="1" width="10.28515625" customWidth="1"/>
    <col min="2" max="2" width="15.28515625" customWidth="1"/>
    <col min="3" max="3" width="17" customWidth="1"/>
    <col min="6" max="6" width="21.7109375" customWidth="1"/>
    <col min="7" max="8" width="17.5703125" customWidth="1"/>
    <col min="9" max="9" width="9.85546875" customWidth="1"/>
    <col min="10" max="10" width="11.28515625" customWidth="1"/>
    <col min="11" max="11" width="16.85546875" style="5" customWidth="1"/>
    <col min="12" max="13" width="14.5703125" customWidth="1"/>
    <col min="14" max="14" width="16.140625" customWidth="1"/>
    <col min="15" max="15" width="17.85546875" customWidth="1"/>
    <col min="16" max="16" width="17" customWidth="1"/>
  </cols>
  <sheetData>
    <row r="1" spans="1:18" ht="27.5" customHeight="1" x14ac:dyDescent="0.2">
      <c r="A1" s="32" t="s">
        <v>169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8" x14ac:dyDescent="0.2">
      <c r="A2" t="s">
        <v>34</v>
      </c>
      <c r="B2" t="s">
        <v>35</v>
      </c>
      <c r="C2" t="s">
        <v>36</v>
      </c>
      <c r="D2" t="s">
        <v>37</v>
      </c>
      <c r="E2" s="16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s="5" t="s">
        <v>44</v>
      </c>
      <c r="L2" t="s">
        <v>45</v>
      </c>
      <c r="M2" s="4" t="s">
        <v>153</v>
      </c>
      <c r="N2" t="s">
        <v>46</v>
      </c>
      <c r="O2" t="s">
        <v>47</v>
      </c>
      <c r="P2" t="s">
        <v>48</v>
      </c>
      <c r="Q2" s="4" t="s">
        <v>170</v>
      </c>
      <c r="R2" s="4" t="s">
        <v>171</v>
      </c>
    </row>
    <row r="3" spans="1:18" x14ac:dyDescent="0.2">
      <c r="A3" t="s">
        <v>49</v>
      </c>
      <c r="B3" s="2">
        <v>45667</v>
      </c>
      <c r="C3" t="s">
        <v>50</v>
      </c>
      <c r="D3" t="s">
        <v>51</v>
      </c>
      <c r="E3">
        <v>28</v>
      </c>
      <c r="F3" t="s">
        <v>52</v>
      </c>
      <c r="G3" t="s">
        <v>53</v>
      </c>
      <c r="H3" s="18" t="s">
        <v>54</v>
      </c>
      <c r="I3" s="18" t="s">
        <v>55</v>
      </c>
      <c r="J3" s="17">
        <v>2</v>
      </c>
      <c r="K3" s="6">
        <v>120000</v>
      </c>
      <c r="L3" s="6">
        <v>150000</v>
      </c>
      <c r="M3" s="6">
        <v>285000</v>
      </c>
      <c r="N3" s="6">
        <v>2500</v>
      </c>
      <c r="O3" t="s">
        <v>56</v>
      </c>
      <c r="P3" s="19">
        <v>0.05</v>
      </c>
      <c r="Q3" s="6">
        <f>Table1[[#This Row],[Unit_Cost]]*Table1[[#This Row],[Quantity]]</f>
        <v>240000</v>
      </c>
      <c r="R3" s="6">
        <v>45000</v>
      </c>
    </row>
    <row r="4" spans="1:18" x14ac:dyDescent="0.2">
      <c r="A4" t="s">
        <v>57</v>
      </c>
      <c r="B4" s="2">
        <v>45668</v>
      </c>
      <c r="C4" t="s">
        <v>146</v>
      </c>
      <c r="D4" t="s">
        <v>58</v>
      </c>
      <c r="E4">
        <v>34</v>
      </c>
      <c r="F4" t="s">
        <v>59</v>
      </c>
      <c r="G4" t="s">
        <v>60</v>
      </c>
      <c r="H4" s="18" t="s">
        <v>61</v>
      </c>
      <c r="I4" s="18" t="s">
        <v>62</v>
      </c>
      <c r="J4" s="17">
        <v>5</v>
      </c>
      <c r="K4" s="6">
        <v>800</v>
      </c>
      <c r="L4" s="6">
        <v>1200</v>
      </c>
      <c r="M4" s="6">
        <v>6000</v>
      </c>
      <c r="N4" s="6">
        <v>1500</v>
      </c>
      <c r="O4" t="s">
        <v>56</v>
      </c>
      <c r="P4" s="19">
        <v>0</v>
      </c>
      <c r="Q4" s="6">
        <f>Table1[[#This Row],[Unit_Cost]]*Table1[[#This Row],[Quantity]]</f>
        <v>4000</v>
      </c>
      <c r="R4" s="6">
        <v>2000</v>
      </c>
    </row>
    <row r="5" spans="1:18" x14ac:dyDescent="0.2">
      <c r="A5" t="s">
        <v>63</v>
      </c>
      <c r="B5" s="2">
        <v>45669</v>
      </c>
      <c r="C5" t="s">
        <v>147</v>
      </c>
      <c r="D5" t="s">
        <v>58</v>
      </c>
      <c r="E5">
        <v>40</v>
      </c>
      <c r="F5" t="s">
        <v>64</v>
      </c>
      <c r="G5" t="s">
        <v>53</v>
      </c>
      <c r="H5" s="18" t="s">
        <v>65</v>
      </c>
      <c r="I5" s="18" t="s">
        <v>66</v>
      </c>
      <c r="J5" s="17">
        <v>0</v>
      </c>
      <c r="K5" s="6">
        <v>3500</v>
      </c>
      <c r="L5" s="6">
        <v>5000</v>
      </c>
      <c r="M5" s="6">
        <v>0</v>
      </c>
      <c r="N5" s="6">
        <v>2000</v>
      </c>
      <c r="O5" t="s">
        <v>67</v>
      </c>
      <c r="P5" s="19">
        <v>0.1</v>
      </c>
      <c r="Q5" s="6">
        <f>Table1[[#This Row],[Unit_Cost]]*Table1[[#This Row],[Quantity]]</f>
        <v>0</v>
      </c>
      <c r="R5" s="6">
        <v>0</v>
      </c>
    </row>
    <row r="6" spans="1:18" x14ac:dyDescent="0.2">
      <c r="A6" t="s">
        <v>68</v>
      </c>
      <c r="B6" s="2">
        <v>45670</v>
      </c>
      <c r="C6" t="s">
        <v>69</v>
      </c>
      <c r="D6" t="s">
        <v>51</v>
      </c>
      <c r="E6">
        <v>45</v>
      </c>
      <c r="F6" t="s">
        <v>52</v>
      </c>
      <c r="G6" t="s">
        <v>53</v>
      </c>
      <c r="H6" s="18" t="s">
        <v>70</v>
      </c>
      <c r="I6" s="18" t="s">
        <v>71</v>
      </c>
      <c r="J6" s="17">
        <v>1</v>
      </c>
      <c r="K6" s="6">
        <v>280000</v>
      </c>
      <c r="L6" s="6">
        <v>350000</v>
      </c>
      <c r="M6" s="6">
        <v>350000</v>
      </c>
      <c r="N6" s="6">
        <v>5000</v>
      </c>
      <c r="O6" t="s">
        <v>72</v>
      </c>
      <c r="P6" s="19">
        <v>0</v>
      </c>
      <c r="Q6" s="6">
        <f>Table1[[#This Row],[Unit_Cost]]*Table1[[#This Row],[Quantity]]</f>
        <v>280000</v>
      </c>
      <c r="R6" s="6">
        <v>70000</v>
      </c>
    </row>
    <row r="7" spans="1:18" x14ac:dyDescent="0.2">
      <c r="A7" t="s">
        <v>73</v>
      </c>
      <c r="B7" s="2">
        <v>45671</v>
      </c>
      <c r="C7" t="s">
        <v>74</v>
      </c>
      <c r="D7" t="s">
        <v>58</v>
      </c>
      <c r="E7">
        <v>22</v>
      </c>
      <c r="F7" t="s">
        <v>75</v>
      </c>
      <c r="G7" t="s">
        <v>76</v>
      </c>
      <c r="H7" s="18" t="s">
        <v>77</v>
      </c>
      <c r="I7" s="18" t="s">
        <v>55</v>
      </c>
      <c r="J7" s="17">
        <v>3</v>
      </c>
      <c r="K7" s="6">
        <v>6000</v>
      </c>
      <c r="L7" s="6">
        <v>9000</v>
      </c>
      <c r="M7" s="6">
        <v>27000</v>
      </c>
      <c r="N7" s="6">
        <v>2500</v>
      </c>
      <c r="O7" t="s">
        <v>78</v>
      </c>
      <c r="P7" s="19">
        <v>0</v>
      </c>
      <c r="Q7" s="6">
        <f>Table1[[#This Row],[Unit_Cost]]*Table1[[#This Row],[Quantity]]</f>
        <v>18000</v>
      </c>
      <c r="R7" s="6">
        <v>9000</v>
      </c>
    </row>
    <row r="8" spans="1:18" x14ac:dyDescent="0.2">
      <c r="A8" t="s">
        <v>79</v>
      </c>
      <c r="B8" s="2">
        <v>45672</v>
      </c>
      <c r="C8" t="s">
        <v>80</v>
      </c>
      <c r="D8" t="s">
        <v>51</v>
      </c>
      <c r="E8">
        <v>40</v>
      </c>
      <c r="F8" t="s">
        <v>81</v>
      </c>
      <c r="G8" t="s">
        <v>76</v>
      </c>
      <c r="H8" s="18" t="s">
        <v>54</v>
      </c>
      <c r="I8" s="18" t="s">
        <v>62</v>
      </c>
      <c r="J8" s="17">
        <v>0</v>
      </c>
      <c r="K8" s="6">
        <v>110000</v>
      </c>
      <c r="L8" s="6">
        <v>140000</v>
      </c>
      <c r="M8" s="6">
        <v>0</v>
      </c>
      <c r="N8" s="6">
        <v>3000</v>
      </c>
      <c r="O8" t="s">
        <v>56</v>
      </c>
      <c r="P8" s="19">
        <v>0.05</v>
      </c>
      <c r="Q8" s="6">
        <f>Table1[[#This Row],[Unit_Cost]]*Table1[[#This Row],[Quantity]]</f>
        <v>0</v>
      </c>
      <c r="R8" s="6">
        <v>0</v>
      </c>
    </row>
    <row r="9" spans="1:18" x14ac:dyDescent="0.2">
      <c r="A9" t="s">
        <v>82</v>
      </c>
      <c r="B9" s="2">
        <v>45673</v>
      </c>
      <c r="C9" t="s">
        <v>83</v>
      </c>
      <c r="D9" t="s">
        <v>51</v>
      </c>
      <c r="E9">
        <v>40</v>
      </c>
      <c r="F9" t="s">
        <v>59</v>
      </c>
      <c r="G9" t="s">
        <v>60</v>
      </c>
      <c r="H9" s="18" t="s">
        <v>61</v>
      </c>
      <c r="I9" s="18" t="s">
        <v>66</v>
      </c>
      <c r="J9" s="17">
        <v>4</v>
      </c>
      <c r="K9" s="6">
        <v>1500</v>
      </c>
      <c r="L9" s="6">
        <v>2500</v>
      </c>
      <c r="M9" s="6">
        <v>10000</v>
      </c>
      <c r="N9" s="6">
        <v>1500</v>
      </c>
      <c r="O9" t="s">
        <v>67</v>
      </c>
      <c r="P9" s="19">
        <v>0</v>
      </c>
      <c r="Q9" s="6">
        <f>Table1[[#This Row],[Unit_Cost]]*Table1[[#This Row],[Quantity]]</f>
        <v>6000</v>
      </c>
      <c r="R9" s="6">
        <v>4000</v>
      </c>
    </row>
    <row r="10" spans="1:18" x14ac:dyDescent="0.2">
      <c r="A10" t="s">
        <v>84</v>
      </c>
      <c r="B10" s="3">
        <v>45674</v>
      </c>
      <c r="C10" t="s">
        <v>148</v>
      </c>
      <c r="D10" t="s">
        <v>58</v>
      </c>
      <c r="E10">
        <v>29</v>
      </c>
      <c r="F10" t="s">
        <v>85</v>
      </c>
      <c r="G10" t="s">
        <v>86</v>
      </c>
      <c r="H10" s="18" t="s">
        <v>87</v>
      </c>
      <c r="I10" s="18" t="s">
        <v>71</v>
      </c>
      <c r="J10" s="17">
        <v>2</v>
      </c>
      <c r="K10" s="6">
        <v>4500</v>
      </c>
      <c r="L10" s="6">
        <v>8000</v>
      </c>
      <c r="M10" s="6">
        <v>13600</v>
      </c>
      <c r="N10" s="6">
        <v>2000</v>
      </c>
      <c r="O10" t="s">
        <v>56</v>
      </c>
      <c r="P10" s="19">
        <v>0.15</v>
      </c>
      <c r="Q10" s="6">
        <f>Table1[[#This Row],[Unit_Cost]]*Table1[[#This Row],[Quantity]]</f>
        <v>9000</v>
      </c>
      <c r="R10" s="6">
        <v>4600</v>
      </c>
    </row>
    <row r="11" spans="1:18" x14ac:dyDescent="0.2">
      <c r="A11" t="s">
        <v>88</v>
      </c>
      <c r="B11" s="2">
        <v>45675</v>
      </c>
      <c r="C11" t="s">
        <v>89</v>
      </c>
      <c r="D11" t="s">
        <v>51</v>
      </c>
      <c r="E11">
        <v>31</v>
      </c>
      <c r="F11" t="s">
        <v>90</v>
      </c>
      <c r="G11" t="s">
        <v>91</v>
      </c>
      <c r="H11" s="18" t="s">
        <v>70</v>
      </c>
      <c r="I11" s="18" t="s">
        <v>55</v>
      </c>
      <c r="J11" s="17">
        <v>1</v>
      </c>
      <c r="K11" s="6">
        <v>250000</v>
      </c>
      <c r="L11" s="6">
        <v>320000</v>
      </c>
      <c r="M11" s="6">
        <v>320000</v>
      </c>
      <c r="N11" s="6">
        <v>4500</v>
      </c>
      <c r="O11" t="s">
        <v>72</v>
      </c>
      <c r="P11" s="19">
        <v>0</v>
      </c>
      <c r="Q11" s="6">
        <f>Table1[[#This Row],[Unit_Cost]]*Table1[[#This Row],[Quantity]]</f>
        <v>250000</v>
      </c>
      <c r="R11" s="6">
        <v>70000</v>
      </c>
    </row>
    <row r="12" spans="1:18" x14ac:dyDescent="0.2">
      <c r="A12" t="s">
        <v>92</v>
      </c>
      <c r="B12" s="2">
        <v>45676</v>
      </c>
      <c r="C12" t="s">
        <v>149</v>
      </c>
      <c r="D12" t="s">
        <v>58</v>
      </c>
      <c r="E12">
        <v>40</v>
      </c>
      <c r="F12" t="s">
        <v>93</v>
      </c>
      <c r="G12" t="s">
        <v>53</v>
      </c>
      <c r="H12" s="18" t="s">
        <v>65</v>
      </c>
      <c r="I12" s="18" t="s">
        <v>62</v>
      </c>
      <c r="J12" s="17">
        <v>2</v>
      </c>
      <c r="K12" s="6">
        <v>3000</v>
      </c>
      <c r="L12" s="6">
        <v>4500</v>
      </c>
      <c r="M12" s="6">
        <v>9000</v>
      </c>
      <c r="N12" s="6">
        <v>2000</v>
      </c>
      <c r="O12" t="s">
        <v>78</v>
      </c>
      <c r="P12" s="19">
        <v>0</v>
      </c>
      <c r="Q12" s="6">
        <f>Table1[[#This Row],[Unit_Cost]]*Table1[[#This Row],[Quantity]]</f>
        <v>6000</v>
      </c>
      <c r="R12" s="6">
        <v>3000</v>
      </c>
    </row>
    <row r="13" spans="1:18" x14ac:dyDescent="0.2">
      <c r="A13" t="s">
        <v>94</v>
      </c>
      <c r="B13" s="2">
        <v>45677</v>
      </c>
      <c r="C13" t="s">
        <v>95</v>
      </c>
      <c r="D13" t="s">
        <v>51</v>
      </c>
      <c r="E13">
        <v>37</v>
      </c>
      <c r="F13" t="s">
        <v>52</v>
      </c>
      <c r="G13" t="s">
        <v>53</v>
      </c>
      <c r="H13" s="18" t="s">
        <v>54</v>
      </c>
      <c r="I13" s="18" t="s">
        <v>71</v>
      </c>
      <c r="J13" s="17">
        <v>1</v>
      </c>
      <c r="K13" s="6">
        <v>130000</v>
      </c>
      <c r="L13" s="6">
        <v>165000</v>
      </c>
      <c r="M13" s="6">
        <v>156750</v>
      </c>
      <c r="N13" s="6">
        <v>2500</v>
      </c>
      <c r="O13" t="s">
        <v>56</v>
      </c>
      <c r="P13" s="19">
        <v>0.05</v>
      </c>
      <c r="Q13" s="6">
        <f>Table1[[#This Row],[Unit_Cost]]*Table1[[#This Row],[Quantity]]</f>
        <v>130000</v>
      </c>
      <c r="R13" s="6">
        <v>26750</v>
      </c>
    </row>
    <row r="14" spans="1:18" x14ac:dyDescent="0.2">
      <c r="A14" t="s">
        <v>96</v>
      </c>
      <c r="B14" s="2">
        <v>45678</v>
      </c>
      <c r="C14" t="s">
        <v>97</v>
      </c>
      <c r="D14" t="s">
        <v>51</v>
      </c>
      <c r="E14">
        <v>52</v>
      </c>
      <c r="F14" t="s">
        <v>59</v>
      </c>
      <c r="G14" t="s">
        <v>60</v>
      </c>
      <c r="H14" s="18" t="s">
        <v>61</v>
      </c>
      <c r="I14" s="18" t="s">
        <v>66</v>
      </c>
      <c r="J14" s="17">
        <v>12</v>
      </c>
      <c r="K14" s="6">
        <v>600</v>
      </c>
      <c r="L14" s="6">
        <v>900</v>
      </c>
      <c r="M14" s="6">
        <v>10800</v>
      </c>
      <c r="N14" s="6">
        <v>1500</v>
      </c>
      <c r="O14" t="s">
        <v>56</v>
      </c>
      <c r="P14" s="19">
        <v>0</v>
      </c>
      <c r="Q14" s="6">
        <f>Table1[[#This Row],[Unit_Cost]]*Table1[[#This Row],[Quantity]]</f>
        <v>7200</v>
      </c>
      <c r="R14" s="6">
        <v>3600</v>
      </c>
    </row>
    <row r="15" spans="1:18" x14ac:dyDescent="0.2">
      <c r="A15" t="s">
        <v>98</v>
      </c>
      <c r="B15" s="2">
        <v>45679</v>
      </c>
      <c r="C15" t="s">
        <v>99</v>
      </c>
      <c r="D15" t="s">
        <v>58</v>
      </c>
      <c r="E15">
        <v>25</v>
      </c>
      <c r="F15" t="s">
        <v>145</v>
      </c>
      <c r="G15" s="4" t="s">
        <v>53</v>
      </c>
      <c r="H15" s="18" t="s">
        <v>77</v>
      </c>
      <c r="I15" s="18" t="s">
        <v>55</v>
      </c>
      <c r="J15" s="17">
        <v>1</v>
      </c>
      <c r="K15" s="6">
        <v>7000</v>
      </c>
      <c r="L15" s="6">
        <v>11000</v>
      </c>
      <c r="M15" s="6">
        <v>9900</v>
      </c>
      <c r="N15" s="6">
        <v>2500</v>
      </c>
      <c r="O15" t="s">
        <v>72</v>
      </c>
      <c r="P15" s="19">
        <v>0.1</v>
      </c>
      <c r="Q15" s="6">
        <f>Table1[[#This Row],[Unit_Cost]]*Table1[[#This Row],[Quantity]]</f>
        <v>7000</v>
      </c>
      <c r="R15" s="6">
        <v>2900</v>
      </c>
    </row>
    <row r="16" spans="1:18" x14ac:dyDescent="0.2">
      <c r="A16" t="s">
        <v>100</v>
      </c>
      <c r="B16" s="2">
        <v>45680</v>
      </c>
      <c r="C16" t="s">
        <v>101</v>
      </c>
      <c r="D16" t="s">
        <v>51</v>
      </c>
      <c r="E16">
        <v>48</v>
      </c>
      <c r="F16" t="s">
        <v>81</v>
      </c>
      <c r="G16" t="s">
        <v>76</v>
      </c>
      <c r="H16" s="18" t="s">
        <v>70</v>
      </c>
      <c r="I16" s="18" t="s">
        <v>62</v>
      </c>
      <c r="J16" s="17">
        <v>1</v>
      </c>
      <c r="K16" s="6">
        <v>300000</v>
      </c>
      <c r="L16" s="6">
        <v>380000</v>
      </c>
      <c r="M16" s="6">
        <v>380000</v>
      </c>
      <c r="N16" s="6">
        <v>5000</v>
      </c>
      <c r="O16" t="s">
        <v>56</v>
      </c>
      <c r="P16" s="19">
        <v>0</v>
      </c>
      <c r="Q16" s="6">
        <f>Table1[[#This Row],[Unit_Cost]]*Table1[[#This Row],[Quantity]]</f>
        <v>300000</v>
      </c>
      <c r="R16" s="6">
        <v>80000</v>
      </c>
    </row>
    <row r="17" spans="1:18" x14ac:dyDescent="0.2">
      <c r="A17" t="s">
        <v>102</v>
      </c>
      <c r="B17" s="2">
        <v>45681</v>
      </c>
      <c r="C17" t="s">
        <v>103</v>
      </c>
      <c r="D17" t="s">
        <v>58</v>
      </c>
      <c r="E17">
        <v>23</v>
      </c>
      <c r="F17" t="s">
        <v>104</v>
      </c>
      <c r="G17" t="s">
        <v>76</v>
      </c>
      <c r="H17" s="18" t="s">
        <v>61</v>
      </c>
      <c r="I17" s="18" t="s">
        <v>71</v>
      </c>
      <c r="J17" s="17">
        <v>8</v>
      </c>
      <c r="K17" s="6">
        <v>1000</v>
      </c>
      <c r="L17" s="6">
        <v>1600</v>
      </c>
      <c r="M17" s="6">
        <v>12160</v>
      </c>
      <c r="N17" s="6">
        <v>2000</v>
      </c>
      <c r="O17" t="s">
        <v>67</v>
      </c>
      <c r="P17" s="19">
        <v>0.05</v>
      </c>
      <c r="Q17" s="6">
        <f>Table1[[#This Row],[Unit_Cost]]*Table1[[#This Row],[Quantity]]</f>
        <v>8000</v>
      </c>
      <c r="R17" s="6">
        <v>4160</v>
      </c>
    </row>
    <row r="18" spans="1:18" x14ac:dyDescent="0.2">
      <c r="A18" t="s">
        <v>105</v>
      </c>
      <c r="B18" s="2">
        <v>45682</v>
      </c>
      <c r="C18" t="s">
        <v>106</v>
      </c>
      <c r="D18" t="s">
        <v>51</v>
      </c>
      <c r="E18">
        <v>33</v>
      </c>
      <c r="F18" t="s">
        <v>107</v>
      </c>
      <c r="G18" t="s">
        <v>91</v>
      </c>
      <c r="H18" s="18" t="s">
        <v>65</v>
      </c>
      <c r="I18" s="18" t="s">
        <v>55</v>
      </c>
      <c r="J18" s="17">
        <v>3</v>
      </c>
      <c r="K18" s="6">
        <v>4000</v>
      </c>
      <c r="L18" s="6">
        <v>6500</v>
      </c>
      <c r="M18" s="6">
        <v>19500</v>
      </c>
      <c r="N18" s="6">
        <v>2000</v>
      </c>
      <c r="O18" t="s">
        <v>56</v>
      </c>
      <c r="P18" s="19">
        <v>0</v>
      </c>
      <c r="Q18" s="6">
        <f>Table1[[#This Row],[Unit_Cost]]*Table1[[#This Row],[Quantity]]</f>
        <v>12000</v>
      </c>
      <c r="R18" s="6">
        <v>7500</v>
      </c>
    </row>
    <row r="19" spans="1:18" x14ac:dyDescent="0.2">
      <c r="A19" t="s">
        <v>108</v>
      </c>
      <c r="B19" s="2">
        <v>45683</v>
      </c>
      <c r="C19" t="s">
        <v>109</v>
      </c>
      <c r="D19" t="s">
        <v>58</v>
      </c>
      <c r="E19">
        <v>40</v>
      </c>
      <c r="F19" t="s">
        <v>64</v>
      </c>
      <c r="G19" t="s">
        <v>53</v>
      </c>
      <c r="H19" s="18" t="s">
        <v>54</v>
      </c>
      <c r="I19" s="18" t="s">
        <v>62</v>
      </c>
      <c r="J19" s="17">
        <v>1</v>
      </c>
      <c r="K19" s="6">
        <v>125000</v>
      </c>
      <c r="L19" s="6">
        <v>155000</v>
      </c>
      <c r="M19" s="6">
        <v>139500</v>
      </c>
      <c r="N19" s="6">
        <v>2500</v>
      </c>
      <c r="O19" t="s">
        <v>78</v>
      </c>
      <c r="P19" s="19">
        <v>0.1</v>
      </c>
      <c r="Q19" s="6">
        <f>Table1[[#This Row],[Unit_Cost]]*Table1[[#This Row],[Quantity]]</f>
        <v>125000</v>
      </c>
      <c r="R19" s="6">
        <v>14500</v>
      </c>
    </row>
    <row r="20" spans="1:18" x14ac:dyDescent="0.2">
      <c r="A20" t="s">
        <v>110</v>
      </c>
      <c r="B20" s="2">
        <v>45684</v>
      </c>
      <c r="C20" t="s">
        <v>111</v>
      </c>
      <c r="D20" t="s">
        <v>51</v>
      </c>
      <c r="E20">
        <v>30</v>
      </c>
      <c r="F20" t="s">
        <v>85</v>
      </c>
      <c r="G20" t="s">
        <v>86</v>
      </c>
      <c r="H20" s="18" t="s">
        <v>77</v>
      </c>
      <c r="I20" s="18" t="s">
        <v>66</v>
      </c>
      <c r="J20" s="17">
        <v>2</v>
      </c>
      <c r="K20" s="6">
        <v>5500</v>
      </c>
      <c r="L20" s="6">
        <v>8500</v>
      </c>
      <c r="M20" s="6">
        <v>17000</v>
      </c>
      <c r="N20" s="6">
        <v>2500</v>
      </c>
      <c r="O20" t="s">
        <v>56</v>
      </c>
      <c r="P20" s="19">
        <v>0</v>
      </c>
      <c r="Q20" s="6">
        <f>Table1[[#This Row],[Unit_Cost]]*Table1[[#This Row],[Quantity]]</f>
        <v>11000</v>
      </c>
      <c r="R20" s="6">
        <v>6000</v>
      </c>
    </row>
    <row r="21" spans="1:18" x14ac:dyDescent="0.2">
      <c r="A21" t="s">
        <v>112</v>
      </c>
      <c r="B21" s="2">
        <v>45685</v>
      </c>
      <c r="C21" t="s">
        <v>113</v>
      </c>
      <c r="D21" t="s">
        <v>58</v>
      </c>
      <c r="E21">
        <v>27</v>
      </c>
      <c r="F21" t="s">
        <v>90</v>
      </c>
      <c r="G21" t="s">
        <v>60</v>
      </c>
      <c r="H21" s="18" t="s">
        <v>70</v>
      </c>
      <c r="I21" s="18" t="s">
        <v>71</v>
      </c>
      <c r="J21" s="17">
        <v>0</v>
      </c>
      <c r="K21" s="6">
        <v>260000</v>
      </c>
      <c r="L21" s="6">
        <v>330000</v>
      </c>
      <c r="M21" s="6">
        <v>0</v>
      </c>
      <c r="N21" s="6">
        <v>4500</v>
      </c>
      <c r="O21" t="s">
        <v>56</v>
      </c>
      <c r="P21" s="19">
        <v>0.05</v>
      </c>
      <c r="Q21" s="6">
        <f>Table1[[#This Row],[Unit_Cost]]*Table1[[#This Row],[Quantity]]</f>
        <v>0</v>
      </c>
      <c r="R21" s="6">
        <v>0</v>
      </c>
    </row>
    <row r="22" spans="1:18" x14ac:dyDescent="0.2">
      <c r="A22" t="s">
        <v>114</v>
      </c>
      <c r="B22" s="2">
        <v>45686</v>
      </c>
      <c r="C22" t="s">
        <v>115</v>
      </c>
      <c r="D22" t="s">
        <v>51</v>
      </c>
      <c r="E22">
        <v>40</v>
      </c>
      <c r="F22" t="s">
        <v>104</v>
      </c>
      <c r="G22" t="s">
        <v>76</v>
      </c>
      <c r="H22" s="18" t="s">
        <v>61</v>
      </c>
      <c r="I22" s="18" t="s">
        <v>55</v>
      </c>
      <c r="J22" s="17">
        <v>6</v>
      </c>
      <c r="K22" s="6">
        <v>900</v>
      </c>
      <c r="L22" s="6">
        <v>1400</v>
      </c>
      <c r="M22" s="6">
        <v>8400</v>
      </c>
      <c r="N22" s="6">
        <v>2000</v>
      </c>
      <c r="O22" t="s">
        <v>67</v>
      </c>
      <c r="P22" s="19">
        <v>0</v>
      </c>
      <c r="Q22" s="6">
        <f>Table1[[#This Row],[Unit_Cost]]*Table1[[#This Row],[Quantity]]</f>
        <v>5400</v>
      </c>
      <c r="R22" s="6">
        <v>3000</v>
      </c>
    </row>
    <row r="23" spans="1:18" x14ac:dyDescent="0.2">
      <c r="A23" t="s">
        <v>116</v>
      </c>
      <c r="B23" s="2">
        <v>45687</v>
      </c>
      <c r="C23" t="s">
        <v>117</v>
      </c>
      <c r="D23" t="s">
        <v>58</v>
      </c>
      <c r="E23">
        <v>35</v>
      </c>
      <c r="F23" t="s">
        <v>52</v>
      </c>
      <c r="G23" t="s">
        <v>53</v>
      </c>
      <c r="H23" s="18" t="s">
        <v>65</v>
      </c>
      <c r="I23" s="18" t="s">
        <v>62</v>
      </c>
      <c r="J23" s="17">
        <v>1</v>
      </c>
      <c r="K23" s="6">
        <v>3500</v>
      </c>
      <c r="L23" s="6">
        <v>5500</v>
      </c>
      <c r="M23" s="6">
        <v>5500</v>
      </c>
      <c r="N23" s="6">
        <v>2000</v>
      </c>
      <c r="O23" t="s">
        <v>72</v>
      </c>
      <c r="P23" s="19">
        <v>0</v>
      </c>
      <c r="Q23" s="6">
        <f>Table1[[#This Row],[Unit_Cost]]*Table1[[#This Row],[Quantity]]</f>
        <v>3500</v>
      </c>
      <c r="R23" s="6">
        <v>2000</v>
      </c>
    </row>
    <row r="24" spans="1:18" x14ac:dyDescent="0.2">
      <c r="A24" t="s">
        <v>118</v>
      </c>
      <c r="B24" s="2">
        <v>45688</v>
      </c>
      <c r="C24" t="s">
        <v>150</v>
      </c>
      <c r="D24" t="s">
        <v>51</v>
      </c>
      <c r="E24">
        <v>42</v>
      </c>
      <c r="F24" t="s">
        <v>119</v>
      </c>
      <c r="G24" t="s">
        <v>53</v>
      </c>
      <c r="H24" s="18" t="s">
        <v>54</v>
      </c>
      <c r="I24" s="18" t="s">
        <v>66</v>
      </c>
      <c r="J24" s="17">
        <v>2</v>
      </c>
      <c r="K24" s="6">
        <v>115000</v>
      </c>
      <c r="L24" s="6">
        <v>145000</v>
      </c>
      <c r="M24" s="6">
        <v>246500</v>
      </c>
      <c r="N24" s="6">
        <v>2500</v>
      </c>
      <c r="O24" t="s">
        <v>56</v>
      </c>
      <c r="P24" s="19">
        <v>0.15</v>
      </c>
      <c r="Q24" s="6">
        <f>Table1[[#This Row],[Unit_Cost]]*Table1[[#This Row],[Quantity]]</f>
        <v>230000</v>
      </c>
      <c r="R24" s="6">
        <v>16500</v>
      </c>
    </row>
    <row r="25" spans="1:18" x14ac:dyDescent="0.2">
      <c r="A25" t="s">
        <v>120</v>
      </c>
      <c r="B25" s="2">
        <v>45689</v>
      </c>
      <c r="C25" t="s">
        <v>121</v>
      </c>
      <c r="D25" t="s">
        <v>58</v>
      </c>
      <c r="E25">
        <v>24</v>
      </c>
      <c r="F25" t="s">
        <v>122</v>
      </c>
      <c r="G25" t="s">
        <v>86</v>
      </c>
      <c r="H25" s="18" t="s">
        <v>61</v>
      </c>
      <c r="I25" s="18" t="s">
        <v>71</v>
      </c>
      <c r="J25" s="17">
        <v>10</v>
      </c>
      <c r="K25" s="6">
        <v>700</v>
      </c>
      <c r="L25" s="6">
        <v>1100</v>
      </c>
      <c r="M25" s="6">
        <v>11000</v>
      </c>
      <c r="N25" s="6">
        <v>2000</v>
      </c>
      <c r="O25" t="s">
        <v>78</v>
      </c>
      <c r="P25" s="19">
        <v>0</v>
      </c>
      <c r="Q25" s="6">
        <f>Table1[[#This Row],[Unit_Cost]]*Table1[[#This Row],[Quantity]]</f>
        <v>7000</v>
      </c>
      <c r="R25" s="6">
        <v>4000</v>
      </c>
    </row>
    <row r="26" spans="1:18" x14ac:dyDescent="0.2">
      <c r="A26" t="s">
        <v>123</v>
      </c>
      <c r="B26" s="2">
        <v>45690</v>
      </c>
      <c r="C26" t="s">
        <v>124</v>
      </c>
      <c r="D26" t="s">
        <v>51</v>
      </c>
      <c r="E26">
        <v>40</v>
      </c>
      <c r="F26" t="s">
        <v>125</v>
      </c>
      <c r="G26" t="s">
        <v>76</v>
      </c>
      <c r="H26" s="18" t="s">
        <v>77</v>
      </c>
      <c r="I26" s="18" t="s">
        <v>55</v>
      </c>
      <c r="J26" s="17">
        <v>1</v>
      </c>
      <c r="K26" s="6">
        <v>8000</v>
      </c>
      <c r="L26" s="6">
        <v>12000</v>
      </c>
      <c r="M26" s="6">
        <v>11400</v>
      </c>
      <c r="N26" s="6">
        <v>2500</v>
      </c>
      <c r="O26" t="s">
        <v>56</v>
      </c>
      <c r="P26" s="19">
        <v>0.05</v>
      </c>
      <c r="Q26" s="6">
        <f>Table1[[#This Row],[Unit_Cost]]*Table1[[#This Row],[Quantity]]</f>
        <v>8000</v>
      </c>
      <c r="R26" s="6">
        <v>3400</v>
      </c>
    </row>
    <row r="27" spans="1:18" x14ac:dyDescent="0.2">
      <c r="A27" t="s">
        <v>126</v>
      </c>
      <c r="B27" s="2">
        <v>45691</v>
      </c>
      <c r="C27" t="s">
        <v>127</v>
      </c>
      <c r="D27" t="s">
        <v>58</v>
      </c>
      <c r="E27">
        <v>32</v>
      </c>
      <c r="F27" t="s">
        <v>52</v>
      </c>
      <c r="G27" t="s">
        <v>53</v>
      </c>
      <c r="H27" s="18" t="s">
        <v>70</v>
      </c>
      <c r="I27" s="18" t="s">
        <v>62</v>
      </c>
      <c r="J27" s="17">
        <v>1</v>
      </c>
      <c r="K27" s="6">
        <v>290000</v>
      </c>
      <c r="L27" s="6">
        <v>370000</v>
      </c>
      <c r="M27" s="6">
        <v>370000</v>
      </c>
      <c r="N27" s="6">
        <v>5000</v>
      </c>
      <c r="O27" t="s">
        <v>56</v>
      </c>
      <c r="P27" s="19">
        <v>0</v>
      </c>
      <c r="Q27" s="6">
        <f>Table1[[#This Row],[Unit_Cost]]*Table1[[#This Row],[Quantity]]</f>
        <v>290000</v>
      </c>
      <c r="R27" s="6">
        <v>80000</v>
      </c>
    </row>
    <row r="28" spans="1:18" x14ac:dyDescent="0.2">
      <c r="A28" t="s">
        <v>128</v>
      </c>
      <c r="B28" s="2">
        <v>45692</v>
      </c>
      <c r="C28" t="s">
        <v>129</v>
      </c>
      <c r="D28" t="s">
        <v>58</v>
      </c>
      <c r="E28">
        <v>21</v>
      </c>
      <c r="F28" t="s">
        <v>59</v>
      </c>
      <c r="G28" t="s">
        <v>60</v>
      </c>
      <c r="H28" s="18" t="s">
        <v>61</v>
      </c>
      <c r="I28" s="18" t="s">
        <v>66</v>
      </c>
      <c r="J28" s="17">
        <v>15</v>
      </c>
      <c r="K28" s="6">
        <v>500</v>
      </c>
      <c r="L28" s="6">
        <v>800</v>
      </c>
      <c r="M28" s="6">
        <v>10800</v>
      </c>
      <c r="N28" s="6">
        <v>1500</v>
      </c>
      <c r="O28" t="s">
        <v>72</v>
      </c>
      <c r="P28" s="19">
        <v>0.1</v>
      </c>
      <c r="Q28" s="6">
        <f>Table1[[#This Row],[Unit_Cost]]*Table1[[#This Row],[Quantity]]</f>
        <v>7500</v>
      </c>
      <c r="R28" s="6">
        <v>3300</v>
      </c>
    </row>
    <row r="29" spans="1:18" x14ac:dyDescent="0.2">
      <c r="A29" t="s">
        <v>130</v>
      </c>
      <c r="B29" s="2">
        <v>45693</v>
      </c>
      <c r="C29" t="s">
        <v>131</v>
      </c>
      <c r="D29" t="s">
        <v>51</v>
      </c>
      <c r="E29">
        <v>50</v>
      </c>
      <c r="F29" t="s">
        <v>104</v>
      </c>
      <c r="G29" t="s">
        <v>76</v>
      </c>
      <c r="H29" s="18" t="s">
        <v>54</v>
      </c>
      <c r="I29" s="18" t="s">
        <v>71</v>
      </c>
      <c r="J29" s="17">
        <v>2</v>
      </c>
      <c r="K29" s="6">
        <v>140000</v>
      </c>
      <c r="L29" s="6">
        <v>180000</v>
      </c>
      <c r="M29" s="6">
        <v>360000</v>
      </c>
      <c r="N29" s="6">
        <v>3000</v>
      </c>
      <c r="O29" t="s">
        <v>56</v>
      </c>
      <c r="P29" s="19">
        <v>0</v>
      </c>
      <c r="Q29" s="6">
        <f>Table1[[#This Row],[Unit_Cost]]*Table1[[#This Row],[Quantity]]</f>
        <v>280000</v>
      </c>
      <c r="R29" s="6">
        <v>80000</v>
      </c>
    </row>
    <row r="30" spans="1:18" x14ac:dyDescent="0.2">
      <c r="A30" t="s">
        <v>132</v>
      </c>
      <c r="B30" s="2">
        <v>45694</v>
      </c>
      <c r="C30" t="s">
        <v>133</v>
      </c>
      <c r="D30" t="s">
        <v>58</v>
      </c>
      <c r="E30">
        <v>44</v>
      </c>
      <c r="F30" t="s">
        <v>52</v>
      </c>
      <c r="G30" t="s">
        <v>53</v>
      </c>
      <c r="H30" s="18" t="s">
        <v>65</v>
      </c>
      <c r="I30" s="18" t="s">
        <v>55</v>
      </c>
      <c r="J30" s="17">
        <v>0</v>
      </c>
      <c r="K30" s="6">
        <v>5000</v>
      </c>
      <c r="L30" s="6">
        <v>7500</v>
      </c>
      <c r="M30" s="6">
        <v>0</v>
      </c>
      <c r="N30" s="6">
        <v>2000</v>
      </c>
      <c r="O30" t="s">
        <v>67</v>
      </c>
      <c r="P30" s="19">
        <v>0.05</v>
      </c>
      <c r="Q30" s="6">
        <f>Table1[[#This Row],[Unit_Cost]]*Table1[[#This Row],[Quantity]]</f>
        <v>0</v>
      </c>
      <c r="R30" s="6">
        <v>0</v>
      </c>
    </row>
    <row r="31" spans="1:18" x14ac:dyDescent="0.2">
      <c r="A31" t="s">
        <v>134</v>
      </c>
      <c r="B31" s="2">
        <v>45695</v>
      </c>
      <c r="C31" t="s">
        <v>135</v>
      </c>
      <c r="D31" t="s">
        <v>51</v>
      </c>
      <c r="E31">
        <v>55</v>
      </c>
      <c r="F31" t="s">
        <v>93</v>
      </c>
      <c r="G31" t="s">
        <v>53</v>
      </c>
      <c r="H31" s="18" t="s">
        <v>77</v>
      </c>
      <c r="I31" s="18" t="s">
        <v>62</v>
      </c>
      <c r="J31" s="17">
        <v>3</v>
      </c>
      <c r="K31" s="6">
        <v>6500</v>
      </c>
      <c r="L31" s="6">
        <v>10000</v>
      </c>
      <c r="M31" s="6">
        <v>30000</v>
      </c>
      <c r="N31" s="6">
        <v>2500</v>
      </c>
      <c r="O31" t="s">
        <v>56</v>
      </c>
      <c r="P31" s="19">
        <v>0</v>
      </c>
      <c r="Q31" s="6">
        <f>Table1[[#This Row],[Unit_Cost]]*Table1[[#This Row],[Quantity]]</f>
        <v>19500</v>
      </c>
      <c r="R31" s="6">
        <v>10500</v>
      </c>
    </row>
    <row r="32" spans="1:18" x14ac:dyDescent="0.2">
      <c r="A32" t="s">
        <v>136</v>
      </c>
      <c r="B32" s="2">
        <v>45696</v>
      </c>
      <c r="C32" t="s">
        <v>137</v>
      </c>
      <c r="D32" t="s">
        <v>58</v>
      </c>
      <c r="E32">
        <v>28</v>
      </c>
      <c r="F32" t="s">
        <v>52</v>
      </c>
      <c r="G32" t="s">
        <v>53</v>
      </c>
      <c r="H32" s="18" t="s">
        <v>70</v>
      </c>
      <c r="I32" s="18" t="s">
        <v>71</v>
      </c>
      <c r="J32" s="17">
        <v>1</v>
      </c>
      <c r="K32" s="6">
        <v>270000</v>
      </c>
      <c r="L32" s="6">
        <v>340000</v>
      </c>
      <c r="M32" s="6">
        <v>340000</v>
      </c>
      <c r="N32" s="6">
        <v>4500</v>
      </c>
      <c r="O32" t="s">
        <v>78</v>
      </c>
      <c r="P32" s="19">
        <v>0</v>
      </c>
      <c r="Q32" s="6">
        <f>Table1[[#This Row],[Unit_Cost]]*Table1[[#This Row],[Quantity]]</f>
        <v>270000</v>
      </c>
      <c r="R32" s="6">
        <v>70000</v>
      </c>
    </row>
    <row r="33" spans="1:18" x14ac:dyDescent="0.2">
      <c r="A33" t="s">
        <v>138</v>
      </c>
      <c r="B33" s="2">
        <v>45697</v>
      </c>
      <c r="C33" t="s">
        <v>139</v>
      </c>
      <c r="D33" t="s">
        <v>51</v>
      </c>
      <c r="E33">
        <v>31</v>
      </c>
      <c r="F33" t="s">
        <v>140</v>
      </c>
      <c r="G33" t="s">
        <v>53</v>
      </c>
      <c r="H33" s="18" t="s">
        <v>61</v>
      </c>
      <c r="I33" s="18" t="s">
        <v>66</v>
      </c>
      <c r="J33" s="17">
        <v>4</v>
      </c>
      <c r="K33" s="6">
        <v>1000</v>
      </c>
      <c r="L33" s="6">
        <v>1500</v>
      </c>
      <c r="M33" s="6">
        <v>4800</v>
      </c>
      <c r="N33" s="6">
        <v>2000</v>
      </c>
      <c r="O33" t="s">
        <v>56</v>
      </c>
      <c r="P33" s="19">
        <v>0.2</v>
      </c>
      <c r="Q33" s="6">
        <f>Table1[[#This Row],[Unit_Cost]]*Table1[[#This Row],[Quantity]]</f>
        <v>4000</v>
      </c>
      <c r="R33" s="6">
        <v>800</v>
      </c>
    </row>
    <row r="34" spans="1:18" x14ac:dyDescent="0.2">
      <c r="A34" t="s">
        <v>141</v>
      </c>
      <c r="B34" s="2">
        <v>45698</v>
      </c>
      <c r="C34" t="s">
        <v>142</v>
      </c>
      <c r="D34" t="s">
        <v>58</v>
      </c>
      <c r="E34">
        <v>43</v>
      </c>
      <c r="F34" t="s">
        <v>52</v>
      </c>
      <c r="G34" t="s">
        <v>53</v>
      </c>
      <c r="H34" s="18" t="s">
        <v>54</v>
      </c>
      <c r="I34" s="18" t="s">
        <v>55</v>
      </c>
      <c r="J34" s="17">
        <v>1</v>
      </c>
      <c r="K34" s="6">
        <v>150000</v>
      </c>
      <c r="L34" s="6">
        <v>195000</v>
      </c>
      <c r="M34" s="6">
        <v>195000</v>
      </c>
      <c r="N34" s="6">
        <v>2500</v>
      </c>
      <c r="O34" t="s">
        <v>72</v>
      </c>
      <c r="P34" s="19">
        <v>0</v>
      </c>
      <c r="Q34" s="6">
        <f>Table1[[#This Row],[Unit_Cost]]*Table1[[#This Row],[Quantity]]</f>
        <v>150000</v>
      </c>
      <c r="R34" s="6">
        <v>45000</v>
      </c>
    </row>
    <row r="35" spans="1:18" x14ac:dyDescent="0.2">
      <c r="A35" t="s">
        <v>143</v>
      </c>
      <c r="B35" s="2">
        <v>45699</v>
      </c>
      <c r="C35" t="s">
        <v>144</v>
      </c>
      <c r="D35" t="s">
        <v>51</v>
      </c>
      <c r="E35">
        <v>32</v>
      </c>
      <c r="F35" t="s">
        <v>81</v>
      </c>
      <c r="G35" t="s">
        <v>76</v>
      </c>
      <c r="H35" s="18" t="s">
        <v>77</v>
      </c>
      <c r="I35" s="18" t="s">
        <v>62</v>
      </c>
      <c r="J35" s="17">
        <v>2</v>
      </c>
      <c r="K35" s="6">
        <v>7500</v>
      </c>
      <c r="L35" s="6">
        <v>11500</v>
      </c>
      <c r="M35" s="6">
        <v>21850</v>
      </c>
      <c r="N35" s="6">
        <v>2500</v>
      </c>
      <c r="O35" t="s">
        <v>56</v>
      </c>
      <c r="P35" s="19">
        <v>0.05</v>
      </c>
      <c r="Q35" s="6">
        <f>Table1[[#This Row],[Unit_Cost]]*Table1[[#This Row],[Quantity]]</f>
        <v>15000</v>
      </c>
      <c r="R35" s="6">
        <v>6850</v>
      </c>
    </row>
  </sheetData>
  <mergeCells count="1">
    <mergeCell ref="A1:P1"/>
  </mergeCells>
  <conditionalFormatting sqref="O3:O35">
    <cfRule type="cellIs" dxfId="3" priority="1" operator="equal">
      <formula>"Delivered"</formula>
    </cfRule>
    <cfRule type="cellIs" dxfId="2" priority="3" operator="equal">
      <formula>"Shipped"</formula>
    </cfRule>
    <cfRule type="cellIs" dxfId="1" priority="4" operator="equal">
      <formula>"Returned"</formula>
    </cfRule>
    <cfRule type="cellIs" dxfId="0" priority="5" operator="equal">
      <formula>"Pending"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43C7-4D2C-417C-BABB-969E1DF15A6D}">
  <dimension ref="A1:K25"/>
  <sheetViews>
    <sheetView tabSelected="1" workbookViewId="0">
      <selection activeCell="P9" sqref="P9"/>
    </sheetView>
  </sheetViews>
  <sheetFormatPr defaultRowHeight="12.65" x14ac:dyDescent="0.2"/>
  <cols>
    <col min="1" max="1" width="10.7109375" customWidth="1"/>
    <col min="2" max="2" width="19.140625" customWidth="1"/>
    <col min="3" max="3" width="24.42578125" customWidth="1"/>
    <col min="4" max="4" width="16.85546875" customWidth="1"/>
    <col min="5" max="5" width="12.7109375" bestFit="1" customWidth="1"/>
    <col min="8" max="8" width="10.28515625" bestFit="1" customWidth="1"/>
  </cols>
  <sheetData>
    <row r="1" spans="1:11" ht="12.65" customHeight="1" x14ac:dyDescent="0.2">
      <c r="A1" s="22" t="s">
        <v>151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34.549999999999997" customHeight="1" x14ac:dyDescent="0.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9.5" customHeight="1" x14ac:dyDescent="0.2">
      <c r="A3" s="24" t="s">
        <v>157</v>
      </c>
      <c r="B3" s="24"/>
      <c r="G3" s="23" t="s">
        <v>168</v>
      </c>
      <c r="H3" s="23"/>
      <c r="I3" s="23"/>
      <c r="J3" s="23"/>
      <c r="K3" s="23"/>
    </row>
    <row r="4" spans="1:11" ht="12.65" customHeight="1" x14ac:dyDescent="0.2">
      <c r="A4" s="25" t="s">
        <v>152</v>
      </c>
      <c r="B4" s="26"/>
      <c r="C4" s="26"/>
      <c r="D4" s="26"/>
      <c r="E4" s="11">
        <f>SUM(Table1[Shipping_Fee])</f>
        <v>88000</v>
      </c>
      <c r="G4" s="23"/>
      <c r="H4" s="23"/>
      <c r="I4" s="23"/>
      <c r="J4" s="23"/>
      <c r="K4" s="23"/>
    </row>
    <row r="5" spans="1:11" ht="12.65" customHeight="1" x14ac:dyDescent="0.2">
      <c r="A5" s="25" t="s">
        <v>154</v>
      </c>
      <c r="B5" s="25"/>
      <c r="C5" s="25"/>
      <c r="D5" s="25"/>
      <c r="E5" s="9">
        <f>AVERAGE(Table1[Age])</f>
        <v>35.787878787878789</v>
      </c>
      <c r="G5" s="23"/>
      <c r="H5" s="23"/>
      <c r="I5" s="23"/>
      <c r="J5" s="23"/>
      <c r="K5" s="23"/>
    </row>
    <row r="6" spans="1:11" ht="12.65" customHeight="1" x14ac:dyDescent="0.2">
      <c r="A6" s="25" t="s">
        <v>155</v>
      </c>
      <c r="B6" s="25"/>
      <c r="C6" s="25"/>
      <c r="D6" s="25"/>
      <c r="E6" s="13">
        <f>MIN(Table1[Unit_Price])</f>
        <v>800</v>
      </c>
      <c r="G6" s="23"/>
      <c r="H6" s="23"/>
      <c r="I6" s="23"/>
      <c r="J6" s="23"/>
      <c r="K6" s="23"/>
    </row>
    <row r="7" spans="1:11" ht="13.2" customHeight="1" thickBot="1" x14ac:dyDescent="0.25">
      <c r="A7" s="25" t="s">
        <v>156</v>
      </c>
      <c r="B7" s="25"/>
      <c r="C7" s="25"/>
      <c r="D7" s="25"/>
      <c r="E7" s="12">
        <f>MAX(Table1[Sales_Amount])</f>
        <v>380000</v>
      </c>
      <c r="F7" s="8"/>
      <c r="G7" s="23"/>
      <c r="H7" s="23"/>
      <c r="I7" s="23"/>
      <c r="J7" s="23"/>
      <c r="K7" s="23"/>
    </row>
    <row r="8" spans="1:11" ht="12.65" customHeight="1" x14ac:dyDescent="0.2">
      <c r="E8" s="10"/>
      <c r="G8" s="23"/>
      <c r="H8" s="23"/>
      <c r="I8" s="23"/>
      <c r="J8" s="23"/>
      <c r="K8" s="23"/>
    </row>
    <row r="9" spans="1:11" ht="15.05" customHeight="1" x14ac:dyDescent="0.2">
      <c r="B9" s="27"/>
      <c r="C9" s="27"/>
      <c r="G9" s="23"/>
      <c r="H9" s="23"/>
      <c r="I9" s="23"/>
      <c r="J9" s="23"/>
      <c r="K9" s="23"/>
    </row>
    <row r="10" spans="1:11" ht="25.65" customHeight="1" x14ac:dyDescent="0.2">
      <c r="A10" s="28" t="s">
        <v>158</v>
      </c>
      <c r="B10" s="28"/>
      <c r="C10" s="28"/>
      <c r="G10" s="23"/>
      <c r="H10" s="23"/>
      <c r="I10" s="23"/>
      <c r="J10" s="23"/>
      <c r="K10" s="23"/>
    </row>
    <row r="11" spans="1:11" ht="12.65" customHeight="1" x14ac:dyDescent="0.2">
      <c r="A11" s="25" t="s">
        <v>164</v>
      </c>
      <c r="B11" s="25"/>
      <c r="C11" s="25"/>
      <c r="D11" s="25"/>
      <c r="E11" s="7">
        <f>COUNTIF(Table1[Delivery_Status],"Returned")</f>
        <v>6</v>
      </c>
      <c r="G11" s="23"/>
      <c r="H11" s="23"/>
      <c r="I11" s="23"/>
      <c r="J11" s="23"/>
      <c r="K11" s="23"/>
    </row>
    <row r="12" spans="1:11" ht="12.65" customHeight="1" x14ac:dyDescent="0.2">
      <c r="A12" s="25" t="s">
        <v>165</v>
      </c>
      <c r="B12" s="25"/>
      <c r="C12" s="25"/>
      <c r="D12" s="25"/>
      <c r="E12" s="14">
        <f>SUMIF(Table1[Payment_Method],"Bank Transfer",Table1[Sales_Amount])</f>
        <v>876200</v>
      </c>
      <c r="G12" s="23"/>
      <c r="H12" s="23"/>
      <c r="I12" s="23"/>
      <c r="J12" s="23"/>
      <c r="K12" s="23"/>
    </row>
    <row r="13" spans="1:11" ht="13.2" customHeight="1" thickBot="1" x14ac:dyDescent="0.25">
      <c r="A13" s="25" t="s">
        <v>167</v>
      </c>
      <c r="B13" s="30"/>
      <c r="C13" s="30"/>
      <c r="D13" s="30"/>
      <c r="E13" s="12">
        <f>AVERAGEIF(Table1[Product_SubCategory],"Laptops",Table1[Unit_Cost])</f>
        <v>275000</v>
      </c>
      <c r="G13" s="23"/>
      <c r="H13" s="23"/>
      <c r="I13" s="23"/>
      <c r="J13" s="23"/>
      <c r="K13" s="23"/>
    </row>
    <row r="14" spans="1:11" ht="12.65" customHeight="1" x14ac:dyDescent="0.2">
      <c r="G14" s="23"/>
      <c r="H14" s="23"/>
      <c r="I14" s="23"/>
      <c r="J14" s="23"/>
      <c r="K14" s="23"/>
    </row>
    <row r="15" spans="1:11" ht="12.65" customHeight="1" x14ac:dyDescent="0.2">
      <c r="G15" s="23"/>
      <c r="H15" s="23"/>
      <c r="I15" s="23"/>
      <c r="J15" s="23"/>
      <c r="K15" s="23"/>
    </row>
    <row r="16" spans="1:11" ht="12.65" customHeight="1" x14ac:dyDescent="0.2">
      <c r="A16" s="21" t="s">
        <v>159</v>
      </c>
      <c r="B16" s="21"/>
      <c r="C16" s="21"/>
      <c r="G16" s="23"/>
      <c r="H16" s="23"/>
      <c r="I16" s="23"/>
      <c r="J16" s="23"/>
      <c r="K16" s="23"/>
    </row>
    <row r="17" spans="1:11" ht="12.65" customHeight="1" x14ac:dyDescent="0.2">
      <c r="A17" s="21"/>
      <c r="B17" s="21"/>
      <c r="C17" s="21"/>
      <c r="G17" s="23"/>
      <c r="H17" s="23"/>
      <c r="I17" s="23"/>
      <c r="J17" s="23"/>
      <c r="K17" s="23"/>
    </row>
    <row r="18" spans="1:11" ht="12.65" customHeight="1" x14ac:dyDescent="0.2">
      <c r="A18" s="31" t="s">
        <v>166</v>
      </c>
      <c r="B18" s="31"/>
      <c r="C18" s="31"/>
      <c r="D18" s="31"/>
      <c r="E18" s="7">
        <f>COUNTIFS(Table1[Gender],"Female",Table1[State],"Kano")</f>
        <v>2</v>
      </c>
      <c r="G18" s="23"/>
      <c r="H18" s="23"/>
      <c r="I18" s="23"/>
      <c r="J18" s="23"/>
      <c r="K18" s="23"/>
    </row>
    <row r="19" spans="1:11" ht="13.75" customHeight="1" thickBot="1" x14ac:dyDescent="0.25">
      <c r="A19" s="20" t="s">
        <v>160</v>
      </c>
      <c r="B19" s="20"/>
      <c r="C19" s="20"/>
      <c r="D19" s="20"/>
      <c r="E19" s="15">
        <f>SUMIFS(Table1[Sales_Amount],Table1[Product_SubCategory],"Smartphones",Table1[Region],"SW")</f>
        <v>1022750</v>
      </c>
      <c r="G19" s="23"/>
      <c r="H19" s="23"/>
      <c r="I19" s="23"/>
      <c r="J19" s="23"/>
      <c r="K19" s="23"/>
    </row>
    <row r="20" spans="1:11" ht="78.7" customHeight="1" x14ac:dyDescent="0.2">
      <c r="G20" s="23"/>
      <c r="H20" s="23"/>
      <c r="I20" s="23"/>
      <c r="J20" s="23"/>
      <c r="K20" s="23"/>
    </row>
    <row r="21" spans="1:11" ht="12.65" customHeight="1" x14ac:dyDescent="0.2">
      <c r="G21" s="23"/>
      <c r="H21" s="23"/>
      <c r="I21" s="23"/>
      <c r="J21" s="23"/>
      <c r="K21" s="23"/>
    </row>
    <row r="22" spans="1:11" ht="12.65" customHeight="1" x14ac:dyDescent="0.2">
      <c r="A22" s="21" t="s">
        <v>161</v>
      </c>
      <c r="B22" s="21"/>
      <c r="C22" s="21"/>
      <c r="G22" s="23"/>
      <c r="H22" s="23"/>
      <c r="I22" s="23"/>
      <c r="J22" s="23"/>
      <c r="K22" s="23"/>
    </row>
    <row r="23" spans="1:11" ht="12.65" customHeight="1" x14ac:dyDescent="0.2">
      <c r="A23" s="21"/>
      <c r="B23" s="21"/>
      <c r="C23" s="21"/>
      <c r="G23" s="23"/>
      <c r="H23" s="23"/>
      <c r="I23" s="23"/>
      <c r="J23" s="23"/>
      <c r="K23" s="23"/>
    </row>
    <row r="24" spans="1:11" ht="12.65" customHeight="1" x14ac:dyDescent="0.2">
      <c r="A24" s="29" t="s">
        <v>162</v>
      </c>
      <c r="B24" s="29"/>
      <c r="C24" s="29"/>
      <c r="D24" s="29"/>
      <c r="E24" s="7">
        <f>COUNTIFS(Table1[Delivery_Status],"Delivered",Table1[Age],"&lt;35")</f>
        <v>9</v>
      </c>
      <c r="G24" s="23"/>
      <c r="H24" s="23"/>
      <c r="I24" s="23"/>
      <c r="J24" s="23"/>
      <c r="K24" s="23"/>
    </row>
    <row r="25" spans="1:11" ht="70.55" customHeight="1" thickBot="1" x14ac:dyDescent="0.25">
      <c r="A25" s="25" t="s">
        <v>163</v>
      </c>
      <c r="B25" s="25"/>
      <c r="C25" s="25"/>
      <c r="D25" s="25"/>
      <c r="E25" s="15">
        <f>SUMIFS(Table1[Sales_Amount],Table1[Quantity],"&gt;5",Table1[Delivery_Status],"Pending")</f>
        <v>20560</v>
      </c>
      <c r="G25" s="23"/>
      <c r="H25" s="23"/>
      <c r="I25" s="23"/>
      <c r="J25" s="23"/>
      <c r="K25" s="23"/>
    </row>
  </sheetData>
  <mergeCells count="18">
    <mergeCell ref="A16:C17"/>
    <mergeCell ref="A18:D18"/>
    <mergeCell ref="A19:D19"/>
    <mergeCell ref="A22:C23"/>
    <mergeCell ref="A1:K2"/>
    <mergeCell ref="G3:K25"/>
    <mergeCell ref="A3:B3"/>
    <mergeCell ref="A4:D4"/>
    <mergeCell ref="A5:D5"/>
    <mergeCell ref="A6:D6"/>
    <mergeCell ref="A7:D7"/>
    <mergeCell ref="B9:C9"/>
    <mergeCell ref="A10:C10"/>
    <mergeCell ref="A11:D11"/>
    <mergeCell ref="A12:D12"/>
    <mergeCell ref="A24:D24"/>
    <mergeCell ref="A25:D25"/>
    <mergeCell ref="A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Cleaned Data</vt:lpstr>
      <vt:lpstr>Analysis|Insights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helenogbonda@outlook.com</cp:lastModifiedBy>
  <dcterms:modified xsi:type="dcterms:W3CDTF">2026-09-14T12:12:48Z</dcterms:modified>
</cp:coreProperties>
</file>