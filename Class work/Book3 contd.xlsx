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DVANCE-EXCEL\Class work\"/>
    </mc:Choice>
  </mc:AlternateContent>
  <xr:revisionPtr revIDLastSave="0" documentId="8_{CE7B9FF4-A1ED-4613-A038-22B2294D5863}" xr6:coauthVersionLast="47" xr6:coauthVersionMax="47" xr10:uidLastSave="{00000000-0000-0000-0000-000000000000}"/>
  <bookViews>
    <workbookView xWindow="-113" yWindow="-113" windowWidth="17330" windowHeight="9116" activeTab="3" xr2:uid="{FCD932CA-9DEA-40DC-9DC2-64F0E69BCA85}"/>
  </bookViews>
  <sheets>
    <sheet name="Sheet1" sheetId="1" r:id="rId1"/>
    <sheet name="Sheet2" sheetId="2" r:id="rId2"/>
    <sheet name="Sheet6" sheetId="6" r:id="rId3"/>
    <sheet name="Sheet7" sheetId="7" r:id="rId4"/>
    <sheet name="Sheet3" sheetId="3" r:id="rId5"/>
    <sheet name="Sheet4" sheetId="4" r:id="rId6"/>
    <sheet name="Sheet5" sheetId="5" r:id="rId7"/>
  </sheets>
  <definedNames>
    <definedName name="_xlnm._FilterDatabase" localSheetId="1" hidden="1">Sheet2!$A$1:$C$1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7" l="1"/>
  <c r="F3" i="6" l="1"/>
  <c r="F2" i="6"/>
  <c r="F8" i="2"/>
  <c r="F15" i="2"/>
  <c r="F14" i="2"/>
  <c r="F12" i="2"/>
  <c r="F13" i="2"/>
  <c r="F11" i="2"/>
  <c r="F9" i="2"/>
  <c r="F7" i="2"/>
  <c r="F10" i="2"/>
  <c r="F6" i="2"/>
  <c r="F5" i="2"/>
  <c r="F4" i="2"/>
  <c r="F3" i="2"/>
  <c r="G12" i="4"/>
  <c r="F8" i="4"/>
  <c r="G8" i="4" s="1"/>
  <c r="B9" i="4"/>
  <c r="C8" i="4"/>
  <c r="L2" i="5"/>
  <c r="L3" i="5"/>
  <c r="L4" i="5"/>
  <c r="R2" i="5"/>
  <c r="R3" i="5"/>
  <c r="R4" i="5"/>
  <c r="R5" i="5"/>
  <c r="M3" i="5"/>
  <c r="M4" i="5"/>
  <c r="M2" i="5"/>
  <c r="C3" i="5"/>
  <c r="C4" i="5"/>
  <c r="C2" i="5"/>
  <c r="B3" i="5"/>
  <c r="B4" i="5"/>
  <c r="B2" i="5"/>
  <c r="O2" i="4"/>
  <c r="C2" i="4"/>
  <c r="C3" i="4"/>
  <c r="C4" i="4"/>
  <c r="C5" i="4"/>
  <c r="C6" i="4"/>
  <c r="C7" i="4"/>
  <c r="E8" i="1"/>
  <c r="E7" i="1"/>
  <c r="C9" i="1"/>
  <c r="C8" i="1"/>
  <c r="C7" i="1"/>
  <c r="B8" i="1"/>
  <c r="B7" i="1" a="1"/>
  <c r="B7" i="1" s="1"/>
  <c r="A7" i="1"/>
  <c r="G11" i="4" l="1"/>
  <c r="M5" i="5"/>
  <c r="L5" i="5"/>
  <c r="J5" i="5"/>
</calcChain>
</file>

<file path=xl/sharedStrings.xml><?xml version="1.0" encoding="utf-8"?>
<sst xmlns="http://schemas.openxmlformats.org/spreadsheetml/2006/main" count="87" uniqueCount="61">
  <si>
    <t>Name</t>
  </si>
  <si>
    <t>Department</t>
  </si>
  <si>
    <t>Sales ($)</t>
  </si>
  <si>
    <t>Alice</t>
  </si>
  <si>
    <t>Bob</t>
  </si>
  <si>
    <t>Charlie</t>
  </si>
  <si>
    <t>David</t>
  </si>
  <si>
    <t>Emma</t>
  </si>
  <si>
    <t>Frank</t>
  </si>
  <si>
    <t>Grace</t>
  </si>
  <si>
    <t>Hannah</t>
  </si>
  <si>
    <t>Ian</t>
  </si>
  <si>
    <t>Julia</t>
  </si>
  <si>
    <t>IT</t>
  </si>
  <si>
    <t>Sales</t>
  </si>
  <si>
    <t>HR</t>
  </si>
  <si>
    <t>Marketing</t>
  </si>
  <si>
    <t>Employee Name</t>
  </si>
  <si>
    <t>Grade</t>
  </si>
  <si>
    <t>90&gt;</t>
  </si>
  <si>
    <t>A</t>
  </si>
  <si>
    <t>80-89</t>
  </si>
  <si>
    <t>B</t>
  </si>
  <si>
    <t>70-79</t>
  </si>
  <si>
    <t>C</t>
  </si>
  <si>
    <t>&lt;70</t>
  </si>
  <si>
    <t>D</t>
  </si>
  <si>
    <t>IFS</t>
  </si>
  <si>
    <t>Switch</t>
  </si>
  <si>
    <t>P2</t>
  </si>
  <si>
    <t>P3</t>
  </si>
  <si>
    <t>P4</t>
  </si>
  <si>
    <t>?</t>
  </si>
  <si>
    <t>Category</t>
  </si>
  <si>
    <t>Electronics</t>
  </si>
  <si>
    <t>Furniture</t>
  </si>
  <si>
    <t>Clothing</t>
  </si>
  <si>
    <t>VALUE</t>
  </si>
  <si>
    <t>ISNUMBER Formula</t>
  </si>
  <si>
    <t>IF with ISNUMBER</t>
  </si>
  <si>
    <t>Hello</t>
  </si>
  <si>
    <t xml:space="preserve">Error </t>
  </si>
  <si>
    <t>Value</t>
  </si>
  <si>
    <t>Isblank Formula</t>
  </si>
  <si>
    <t>IF with ISBLANK</t>
  </si>
  <si>
    <t>Text</t>
  </si>
  <si>
    <t>Index</t>
  </si>
  <si>
    <t>CHOOSE Formula</t>
  </si>
  <si>
    <t>ID</t>
  </si>
  <si>
    <t>Score</t>
  </si>
  <si>
    <t>John</t>
  </si>
  <si>
    <t>Sarah</t>
  </si>
  <si>
    <t>James</t>
  </si>
  <si>
    <t>VLOOKUP</t>
  </si>
  <si>
    <t>HLOOKUP</t>
  </si>
  <si>
    <t xml:space="preserve">  Revenue</t>
  </si>
  <si>
    <t>Cost</t>
  </si>
  <si>
    <t>Profit(Formula: Revenue -Cost)</t>
  </si>
  <si>
    <t>Interest Rate</t>
  </si>
  <si>
    <t>Monthly Payment (Formula)</t>
  </si>
  <si>
    <t xml:space="preserve">     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</si>
</sst>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0"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8E4-C166-444E-8E5A-FD1A9EC21598}">
  <dimension ref="A1:E9"/>
  <sheetViews>
    <sheetView workbookViewId="0">
      <selection activeCell="A11" sqref="A11"/>
    </sheetView>
  </sheetViews>
  <sheetFormatPr defaultRowHeight="15.05" x14ac:dyDescent="0.3"/>
  <cols>
    <col min="3" max="3" width="22.21875" customWidth="1"/>
    <col min="4" max="4" width="13.109375" customWidth="1"/>
  </cols>
  <sheetData>
    <row r="1" spans="1:5" x14ac:dyDescent="0.3">
      <c r="A1">
        <v>10</v>
      </c>
      <c r="B1">
        <v>5</v>
      </c>
      <c r="C1">
        <v>100</v>
      </c>
      <c r="D1">
        <v>101</v>
      </c>
      <c r="E1">
        <v>30</v>
      </c>
    </row>
    <row r="2" spans="1:5" x14ac:dyDescent="0.3">
      <c r="A2">
        <v>20</v>
      </c>
      <c r="B2">
        <v>15</v>
      </c>
      <c r="C2">
        <v>200</v>
      </c>
      <c r="D2">
        <v>102</v>
      </c>
      <c r="E2">
        <v>60</v>
      </c>
    </row>
    <row r="3" spans="1:5" x14ac:dyDescent="0.3">
      <c r="A3">
        <v>30</v>
      </c>
      <c r="B3">
        <v>25</v>
      </c>
      <c r="C3">
        <v>150</v>
      </c>
      <c r="D3">
        <v>103</v>
      </c>
      <c r="E3">
        <v>45</v>
      </c>
    </row>
    <row r="4" spans="1:5" x14ac:dyDescent="0.3">
      <c r="A4">
        <v>40</v>
      </c>
      <c r="B4">
        <v>8</v>
      </c>
      <c r="C4">
        <v>50</v>
      </c>
      <c r="D4">
        <v>104</v>
      </c>
      <c r="E4">
        <v>80</v>
      </c>
    </row>
    <row r="5" spans="1:5" x14ac:dyDescent="0.3">
      <c r="A5">
        <v>50</v>
      </c>
      <c r="B5">
        <v>12</v>
      </c>
      <c r="C5">
        <v>300</v>
      </c>
      <c r="D5">
        <v>105</v>
      </c>
      <c r="E5">
        <v>100</v>
      </c>
    </row>
    <row r="7" spans="1:5" x14ac:dyDescent="0.3">
      <c r="A7">
        <f>AVERAGE(SUM(A1:A5))</f>
        <v>150</v>
      </c>
      <c r="B7">
        <f t="array" ref="B7">SUM(IF(B1:B5&gt;10,B1:B5,0))</f>
        <v>52</v>
      </c>
      <c r="C7" t="str">
        <f>CONCATENATE("Discounted Price:$",TEXT(C1*0.5,"0.00"))</f>
        <v>Discounted Price:$50.00</v>
      </c>
      <c r="E7" t="str">
        <f>IF(VLOOKUP(D1,D1:E5,2,FALSE)&gt;50,CONCATENATE("Price is high:",TEXT(VLOOKUP(D1,D1:E5,2,FALSE),"0.00")),"Price is affordable")</f>
        <v>Price is affordable</v>
      </c>
    </row>
    <row r="8" spans="1:5" x14ac:dyDescent="0.3">
      <c r="B8">
        <f>SUMIF(B1:B5,"&gt;10")</f>
        <v>52</v>
      </c>
      <c r="C8" t="str">
        <f>"Discounted Price:$" &amp;  TEXT(C1*0.5,"0.00")</f>
        <v>Discounted Price:$50.00</v>
      </c>
      <c r="E8" t="str">
        <f>IF(VLOOKUP(D1,D1:E5,2,FALSE)&gt;50,"Price is high:$" &amp; TEXT(VLOOKUP(D1,D1:E5,2,FALSE),"0.00"),"price is affordable")</f>
        <v>price is affordable</v>
      </c>
    </row>
    <row r="9" spans="1:5" x14ac:dyDescent="0.3">
      <c r="C9" t="str">
        <f>"Discounted Price:" &amp; DOLLAR(C1*0.5,2)</f>
        <v>Discounted Price:₦50.00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8271-CD81-4AE1-B173-B481862DCF05}">
  <dimension ref="A1:F15"/>
  <sheetViews>
    <sheetView topLeftCell="A3" workbookViewId="0">
      <selection activeCell="F9" sqref="F9"/>
    </sheetView>
  </sheetViews>
  <sheetFormatPr defaultRowHeight="15.05" x14ac:dyDescent="0.3"/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t="s">
        <v>3</v>
      </c>
      <c r="B2" t="s">
        <v>16</v>
      </c>
      <c r="C2">
        <v>4800</v>
      </c>
      <c r="D2">
        <v>600</v>
      </c>
    </row>
    <row r="3" spans="1:6" x14ac:dyDescent="0.3">
      <c r="A3" t="s">
        <v>4</v>
      </c>
      <c r="B3" t="s">
        <v>14</v>
      </c>
      <c r="C3">
        <v>5200</v>
      </c>
      <c r="F3" t="str">
        <f>IF(C2&gt;5000,"Target met","Target not  met")</f>
        <v>Target not  met</v>
      </c>
    </row>
    <row r="4" spans="1:6" x14ac:dyDescent="0.3">
      <c r="A4" t="s">
        <v>5</v>
      </c>
      <c r="B4" t="s">
        <v>13</v>
      </c>
      <c r="C4">
        <v>3100</v>
      </c>
      <c r="F4" t="b">
        <f>AND(C2&gt;5000,D2&gt;400)</f>
        <v>0</v>
      </c>
    </row>
    <row r="5" spans="1:6" x14ac:dyDescent="0.3">
      <c r="A5" t="s">
        <v>6</v>
      </c>
      <c r="B5" t="s">
        <v>15</v>
      </c>
      <c r="C5">
        <v>6000</v>
      </c>
      <c r="F5" t="b">
        <f>OR(C2&gt;5000,D2&gt;500)</f>
        <v>1</v>
      </c>
    </row>
    <row r="6" spans="1:6" x14ac:dyDescent="0.3">
      <c r="A6" t="s">
        <v>7</v>
      </c>
      <c r="B6" t="s">
        <v>14</v>
      </c>
      <c r="C6">
        <v>7200</v>
      </c>
      <c r="F6" t="str">
        <f>IF(AND(C2&gt;5000,$D$2&gt;500),"Great Sales",IF(OR(C2&gt;5000,$D$2&gt;500),"Good Deal","Poor Performance"))</f>
        <v>Good Deal</v>
      </c>
    </row>
    <row r="7" spans="1:6" x14ac:dyDescent="0.3">
      <c r="A7" t="s">
        <v>8</v>
      </c>
      <c r="B7" t="s">
        <v>16</v>
      </c>
      <c r="C7">
        <v>4500</v>
      </c>
      <c r="F7" t="str">
        <f>IF(AND(C3&gt;5000,$D$2&gt;500),"Great Sales",IF(OR(C3&gt;5000,$D$2&gt;500),"Good Deal","Poor Performance"))</f>
        <v>Great Sales</v>
      </c>
    </row>
    <row r="8" spans="1:6" x14ac:dyDescent="0.3">
      <c r="A8" t="s">
        <v>9</v>
      </c>
      <c r="B8" t="s">
        <v>13</v>
      </c>
      <c r="C8">
        <v>5400</v>
      </c>
      <c r="F8" t="str">
        <f>IF(AND(C4&gt;5000,$D$2&gt;500),"Great Sales",IF(OR(C4&gt;5000,$D$2&gt;500),"Good Deal","Poor Performance"))</f>
        <v>Good Deal</v>
      </c>
    </row>
    <row r="9" spans="1:6" x14ac:dyDescent="0.3">
      <c r="A9" t="s">
        <v>10</v>
      </c>
      <c r="B9" t="s">
        <v>15</v>
      </c>
      <c r="C9">
        <v>2900</v>
      </c>
      <c r="F9" t="str">
        <f>IF(AND(C5&gt;5000,$D$2&gt;500),"Great Sales",IF(OR(C5&gt;5000,$D$2&gt;500),"Good Deal","Poor Performance"))</f>
        <v>Great Sales</v>
      </c>
    </row>
    <row r="10" spans="1:6" x14ac:dyDescent="0.3">
      <c r="A10" t="s">
        <v>11</v>
      </c>
      <c r="B10" t="s">
        <v>14</v>
      </c>
      <c r="C10">
        <v>6300</v>
      </c>
      <c r="F10" t="str">
        <f t="shared" ref="F10" si="0">IF(AND(C6&gt;5000,$D$2&gt;500),"Great Sales",IF(OR(C6&gt;5000,$D$2&gt;500),"Good Deal","Poor Performance"))</f>
        <v>Great Sales</v>
      </c>
    </row>
    <row r="11" spans="1:6" x14ac:dyDescent="0.3">
      <c r="A11" t="s">
        <v>12</v>
      </c>
      <c r="B11" t="s">
        <v>13</v>
      </c>
      <c r="C11">
        <v>4900</v>
      </c>
      <c r="F11" t="str">
        <f>IF(AND(C7&gt;5000,$D$2&gt;500),"Great Sales",IF(OR(C7&gt;5000,$D$2&gt;500),"Good Deal","Poor Performance"))</f>
        <v>Good Deal</v>
      </c>
    </row>
    <row r="12" spans="1:6" x14ac:dyDescent="0.3">
      <c r="F12" t="str">
        <f t="shared" ref="F12:F13" si="1">IF(AND(C8&gt;5000,$D$2&gt;500),"Great Sales",IF(OR(C8&gt;5000,$D$2&gt;500),"Good Deal","Poor Performance"))</f>
        <v>Great Sales</v>
      </c>
    </row>
    <row r="13" spans="1:6" x14ac:dyDescent="0.3">
      <c r="F13" t="str">
        <f t="shared" si="1"/>
        <v>Good Deal</v>
      </c>
    </row>
    <row r="14" spans="1:6" x14ac:dyDescent="0.3">
      <c r="F14" t="str">
        <f>IF(AND(C10&gt;5000,$D$2&gt;500),"Great Sales",IF(OR(C10&gt;5000,$D$2&gt;500),"Good Deal","Poor Performance"))</f>
        <v>Great Sales</v>
      </c>
    </row>
    <row r="15" spans="1:6" x14ac:dyDescent="0.3">
      <c r="F15" t="str">
        <f>IF(AND(C11&gt;5000,$D$2&gt;500),"Great Sales",IF(OR(C11&gt;5000,$D$2&gt;500),"Good Deal","Poor Performance"))</f>
        <v>Good Deal</v>
      </c>
    </row>
  </sheetData>
  <sortState xmlns:xlrd2="http://schemas.microsoft.com/office/spreadsheetml/2017/richdata2" ref="A2:C11">
    <sortCondition ref="A2:A11"/>
  </sortState>
  <conditionalFormatting sqref="A2:C11">
    <cfRule type="expression" dxfId="9" priority="1">
      <formula>MOD(ROW(),3)=0</formula>
    </cfRule>
    <cfRule type="expression" dxfId="8" priority="3">
      <formula>$C2&gt;5000</formula>
    </cfRule>
    <cfRule type="expression" dxfId="7" priority="4">
      <formula>"$C2&gt;5000"</formula>
    </cfRule>
  </conditionalFormatting>
  <conditionalFormatting sqref="C2:C11">
    <cfRule type="expression" dxfId="6" priority="5">
      <formula>C2&gt;5000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2FEA-C21B-4004-AA72-947E178E76CD}">
  <dimension ref="A1:G6"/>
  <sheetViews>
    <sheetView workbookViewId="0">
      <selection activeCell="F3" sqref="F3"/>
    </sheetView>
  </sheetViews>
  <sheetFormatPr defaultRowHeight="15.05" x14ac:dyDescent="0.3"/>
  <sheetData>
    <row r="1" spans="1:7" x14ac:dyDescent="0.3">
      <c r="A1" t="s">
        <v>0</v>
      </c>
      <c r="B1" t="s">
        <v>48</v>
      </c>
      <c r="C1" t="s">
        <v>49</v>
      </c>
      <c r="F1" t="s">
        <v>53</v>
      </c>
      <c r="G1" t="s">
        <v>54</v>
      </c>
    </row>
    <row r="2" spans="1:7" x14ac:dyDescent="0.3">
      <c r="A2" t="s">
        <v>50</v>
      </c>
      <c r="B2">
        <v>1</v>
      </c>
      <c r="C2">
        <v>85</v>
      </c>
      <c r="F2">
        <f>VLOOKUP("James",A2:C6,3,FALSE)</f>
        <v>91</v>
      </c>
    </row>
    <row r="3" spans="1:7" x14ac:dyDescent="0.3">
      <c r="A3" t="s">
        <v>3</v>
      </c>
      <c r="B3">
        <v>2</v>
      </c>
      <c r="C3">
        <v>92</v>
      </c>
      <c r="F3" t="str">
        <f>HLOOKUP("John",A2:C6,2,FALSE)</f>
        <v>Alice</v>
      </c>
    </row>
    <row r="4" spans="1:7" x14ac:dyDescent="0.3">
      <c r="A4" t="s">
        <v>4</v>
      </c>
      <c r="B4">
        <v>3</v>
      </c>
      <c r="C4">
        <v>78</v>
      </c>
    </row>
    <row r="5" spans="1:7" x14ac:dyDescent="0.3">
      <c r="A5" t="s">
        <v>51</v>
      </c>
      <c r="B5">
        <v>4</v>
      </c>
      <c r="C5">
        <v>88</v>
      </c>
    </row>
    <row r="6" spans="1:7" x14ac:dyDescent="0.3">
      <c r="A6" t="s">
        <v>52</v>
      </c>
      <c r="B6">
        <v>5</v>
      </c>
      <c r="C6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133E-3963-4FA8-9896-98C8BE2C59B6}">
  <dimension ref="A1:L6"/>
  <sheetViews>
    <sheetView tabSelected="1" workbookViewId="0">
      <selection activeCell="L4" sqref="L4"/>
    </sheetView>
  </sheetViews>
  <sheetFormatPr defaultRowHeight="15.05" x14ac:dyDescent="0.3"/>
  <cols>
    <col min="8" max="8" width="13.44140625" customWidth="1"/>
    <col min="9" max="9" width="19.109375" customWidth="1"/>
  </cols>
  <sheetData>
    <row r="1" spans="1:12" x14ac:dyDescent="0.3">
      <c r="A1" s="1" t="s">
        <v>55</v>
      </c>
      <c r="B1" s="1" t="s">
        <v>56</v>
      </c>
      <c r="C1" s="1" t="s">
        <v>57</v>
      </c>
      <c r="D1" s="1"/>
      <c r="H1" s="1" t="s">
        <v>58</v>
      </c>
      <c r="I1" s="1" t="s">
        <v>59</v>
      </c>
    </row>
    <row r="2" spans="1:12" x14ac:dyDescent="0.3">
      <c r="A2">
        <v>0</v>
      </c>
      <c r="B2" s="4">
        <v>5000</v>
      </c>
      <c r="C2" s="4">
        <f>A2-B2</f>
        <v>-5000</v>
      </c>
      <c r="H2" s="5">
        <v>0.03</v>
      </c>
    </row>
    <row r="3" spans="1:12" x14ac:dyDescent="0.3">
      <c r="A3">
        <v>-335544.32000000001</v>
      </c>
      <c r="H3" s="5">
        <v>0.04</v>
      </c>
      <c r="L3">
        <v>0</v>
      </c>
    </row>
    <row r="4" spans="1:12" x14ac:dyDescent="0.3">
      <c r="H4" s="5">
        <v>0.05</v>
      </c>
      <c r="L4" t="s">
        <v>60</v>
      </c>
    </row>
    <row r="5" spans="1:12" x14ac:dyDescent="0.3">
      <c r="H5" s="5">
        <v>0.06</v>
      </c>
    </row>
    <row r="6" spans="1:12" x14ac:dyDescent="0.3">
      <c r="H6" s="5">
        <v>7.0000000000000007E-2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AA34-E8CA-4248-A3A2-04DD68A7EB4C}">
  <dimension ref="A1:A11"/>
  <sheetViews>
    <sheetView workbookViewId="0">
      <selection activeCell="A2" sqref="A2:A6"/>
    </sheetView>
  </sheetViews>
  <sheetFormatPr defaultRowHeight="15.05" x14ac:dyDescent="0.3"/>
  <sheetData>
    <row r="1" spans="1:1" x14ac:dyDescent="0.3">
      <c r="A1" s="1" t="s">
        <v>17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3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4</v>
      </c>
    </row>
    <row r="11" spans="1:1" x14ac:dyDescent="0.3">
      <c r="A11" t="s">
        <v>12</v>
      </c>
    </row>
  </sheetData>
  <conditionalFormatting sqref="A2:A11">
    <cfRule type="expression" dxfId="5" priority="1">
      <formula>"Countif($A$2:$A$11,A2)&gt;1"</formula>
    </cfRule>
    <cfRule type="expression" dxfId="4" priority="2">
      <formula>"COUNTIF($A$1:$A$10,A1)&gt;1"</formula>
    </cfRule>
    <cfRule type="expression" dxfId="3" priority="3">
      <formula>COUNTIF($A$2:$A$11,A2)&gt;1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8E63-486C-417B-8A62-C927C7009688}">
  <dimension ref="A1:O12"/>
  <sheetViews>
    <sheetView workbookViewId="0">
      <selection activeCell="F11" sqref="F11"/>
    </sheetView>
  </sheetViews>
  <sheetFormatPr defaultRowHeight="15.05" x14ac:dyDescent="0.3"/>
  <cols>
    <col min="6" max="6" width="10.5546875" bestFit="1" customWidth="1"/>
  </cols>
  <sheetData>
    <row r="1" spans="1:15" x14ac:dyDescent="0.3">
      <c r="C1" t="s">
        <v>18</v>
      </c>
    </row>
    <row r="2" spans="1:15" x14ac:dyDescent="0.3">
      <c r="A2" t="s">
        <v>3</v>
      </c>
      <c r="B2">
        <v>95</v>
      </c>
      <c r="C2" t="str">
        <f>_xlfn.IFS(B2&gt;=90,"A",B2&gt;=80,"B",B2&gt;=70,"C",TRUE,"Fail")</f>
        <v>A</v>
      </c>
      <c r="D2" t="s">
        <v>27</v>
      </c>
      <c r="E2" t="s">
        <v>28</v>
      </c>
      <c r="M2" t="s">
        <v>33</v>
      </c>
      <c r="O2" t="str">
        <f>_xlfn.SWITCH(L3,"P1","Electronics","P2","Furniture","P3","Clothing","Unkown Category")</f>
        <v>Clothing</v>
      </c>
    </row>
    <row r="3" spans="1:15" x14ac:dyDescent="0.3">
      <c r="A3" t="s">
        <v>4</v>
      </c>
      <c r="B3">
        <v>82</v>
      </c>
      <c r="C3" t="str">
        <f t="shared" ref="C3:C8" si="0">_xlfn.IFS(B3&gt;=90,"A",B3&gt;=80,"B",B3&gt;=70,"C",TRUE,"Fail")</f>
        <v>B</v>
      </c>
      <c r="G3" t="s">
        <v>19</v>
      </c>
      <c r="H3" t="s">
        <v>20</v>
      </c>
      <c r="L3" t="s">
        <v>30</v>
      </c>
      <c r="M3" t="s">
        <v>34</v>
      </c>
    </row>
    <row r="4" spans="1:15" x14ac:dyDescent="0.3">
      <c r="A4" t="s">
        <v>5</v>
      </c>
      <c r="B4">
        <v>78</v>
      </c>
      <c r="C4" t="str">
        <f t="shared" si="0"/>
        <v>C</v>
      </c>
      <c r="G4" t="s">
        <v>21</v>
      </c>
      <c r="H4" t="s">
        <v>22</v>
      </c>
      <c r="L4" t="s">
        <v>29</v>
      </c>
      <c r="M4" t="s">
        <v>35</v>
      </c>
    </row>
    <row r="5" spans="1:15" x14ac:dyDescent="0.3">
      <c r="A5" t="s">
        <v>6</v>
      </c>
      <c r="B5">
        <v>65</v>
      </c>
      <c r="C5" t="str">
        <f t="shared" si="0"/>
        <v>Fail</v>
      </c>
      <c r="G5" t="s">
        <v>23</v>
      </c>
      <c r="H5" t="s">
        <v>24</v>
      </c>
      <c r="L5" t="s">
        <v>30</v>
      </c>
      <c r="M5" t="s">
        <v>36</v>
      </c>
    </row>
    <row r="6" spans="1:15" x14ac:dyDescent="0.3">
      <c r="A6" t="s">
        <v>7</v>
      </c>
      <c r="B6">
        <v>88</v>
      </c>
      <c r="C6" t="str">
        <f t="shared" si="0"/>
        <v>B</v>
      </c>
      <c r="G6" t="s">
        <v>25</v>
      </c>
      <c r="H6" t="s">
        <v>26</v>
      </c>
      <c r="L6" t="s">
        <v>31</v>
      </c>
      <c r="M6" t="s">
        <v>32</v>
      </c>
    </row>
    <row r="7" spans="1:15" x14ac:dyDescent="0.3">
      <c r="A7" t="s">
        <v>8</v>
      </c>
      <c r="B7">
        <v>91</v>
      </c>
      <c r="C7" t="str">
        <f t="shared" si="0"/>
        <v>A</v>
      </c>
    </row>
    <row r="8" spans="1:15" x14ac:dyDescent="0.3">
      <c r="B8">
        <v>91</v>
      </c>
      <c r="C8" t="str">
        <f t="shared" si="0"/>
        <v>A</v>
      </c>
      <c r="F8" s="3">
        <f ca="1">TODAY()</f>
        <v>46162</v>
      </c>
      <c r="G8">
        <f ca="1">DATEDIF(F9,F8,"M")</f>
        <v>306</v>
      </c>
    </row>
    <row r="9" spans="1:15" x14ac:dyDescent="0.3">
      <c r="B9">
        <f>MEDIAN(B2:B8)</f>
        <v>88</v>
      </c>
      <c r="F9" s="3">
        <v>36822</v>
      </c>
    </row>
    <row r="10" spans="1:15" x14ac:dyDescent="0.3">
      <c r="F10" s="3">
        <v>44440</v>
      </c>
    </row>
    <row r="11" spans="1:15" x14ac:dyDescent="0.3">
      <c r="G11">
        <f ca="1">YEAR(F8)</f>
        <v>2026</v>
      </c>
    </row>
    <row r="12" spans="1:15" x14ac:dyDescent="0.3">
      <c r="G12" t="e">
        <f ca="1">XLOOKUP(B2,B2:B8,A2:A7)</f>
        <v>#NAME?</v>
      </c>
    </row>
  </sheetData>
  <conditionalFormatting sqref="A2:A7">
    <cfRule type="expression" dxfId="2" priority="1">
      <formula>"Countif($A$2:$A$11,A2)&gt;1"</formula>
    </cfRule>
    <cfRule type="expression" dxfId="1" priority="2">
      <formula>"COUNTIF($A$1:$A$10,A1)&gt;1"</formula>
    </cfRule>
    <cfRule type="expression" dxfId="0" priority="3">
      <formula>COUNTIF($A$3:$A$12,A2)&gt;1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49B9-B39B-4285-8F46-F5664A8758F5}">
  <dimension ref="A1:R5"/>
  <sheetViews>
    <sheetView workbookViewId="0">
      <selection activeCell="L11" sqref="L11"/>
    </sheetView>
  </sheetViews>
  <sheetFormatPr defaultRowHeight="15.05" x14ac:dyDescent="0.3"/>
  <sheetData>
    <row r="1" spans="1:18" x14ac:dyDescent="0.3">
      <c r="A1" t="s">
        <v>37</v>
      </c>
      <c r="B1" t="s">
        <v>38</v>
      </c>
      <c r="C1" t="s">
        <v>39</v>
      </c>
      <c r="F1" t="s">
        <v>41</v>
      </c>
      <c r="K1" t="s">
        <v>42</v>
      </c>
      <c r="L1" t="s">
        <v>43</v>
      </c>
      <c r="M1" t="s">
        <v>44</v>
      </c>
      <c r="Q1" t="s">
        <v>46</v>
      </c>
      <c r="R1" s="2" t="s">
        <v>47</v>
      </c>
    </row>
    <row r="2" spans="1:18" x14ac:dyDescent="0.3">
      <c r="A2">
        <v>123</v>
      </c>
      <c r="B2" t="b">
        <f>ISNUMBER(A2)</f>
        <v>1</v>
      </c>
      <c r="C2" t="str">
        <f>IF(ISNUMBER(A2),"Valid","invalid")</f>
        <v>Valid</v>
      </c>
      <c r="K2">
        <v>12</v>
      </c>
      <c r="L2" t="b">
        <f>ISBLANK(K2)</f>
        <v>0</v>
      </c>
      <c r="M2" t="str">
        <f>IF(ISBLANK(K2),"Missing data","Data  entered")</f>
        <v>Data  entered</v>
      </c>
      <c r="Q2">
        <v>2</v>
      </c>
      <c r="R2" t="str">
        <f>CHOOSE(Q2,"Apple","Banana","Cheryl")</f>
        <v>Banana</v>
      </c>
    </row>
    <row r="3" spans="1:18" x14ac:dyDescent="0.3">
      <c r="A3" t="s">
        <v>40</v>
      </c>
      <c r="B3" t="b">
        <f t="shared" ref="B3:B4" si="0">ISNUMBER(A3)</f>
        <v>0</v>
      </c>
      <c r="C3" t="str">
        <f t="shared" ref="C3:C4" si="1">IF(ISNUMBER(A3),"Valid","invalid")</f>
        <v>invalid</v>
      </c>
      <c r="K3" t="s">
        <v>45</v>
      </c>
      <c r="L3" t="b">
        <f>ISBLANK(K3)</f>
        <v>0</v>
      </c>
      <c r="M3" t="str">
        <f>IF(ISBLANK(K3),"Missing data","Data  entered")</f>
        <v>Data  entered</v>
      </c>
      <c r="Q3">
        <v>2</v>
      </c>
      <c r="R3" t="str">
        <f t="shared" ref="R3:R5" si="2">CHOOSE(Q3,"Apple","Banana","Cheryl")</f>
        <v>Banana</v>
      </c>
    </row>
    <row r="4" spans="1:18" x14ac:dyDescent="0.3">
      <c r="A4">
        <v>45.67</v>
      </c>
      <c r="B4" t="b">
        <f t="shared" si="0"/>
        <v>1</v>
      </c>
      <c r="C4" t="str">
        <f t="shared" si="1"/>
        <v>Valid</v>
      </c>
      <c r="K4">
        <v>456</v>
      </c>
      <c r="L4" t="b">
        <f>ISBLANK(K4)</f>
        <v>0</v>
      </c>
      <c r="M4" t="str">
        <f>IF(ISBLANK(K4),"Missing data","Data  entered")</f>
        <v>Data  entered</v>
      </c>
      <c r="Q4">
        <v>3</v>
      </c>
      <c r="R4" t="str">
        <f t="shared" si="2"/>
        <v>Cheryl</v>
      </c>
    </row>
    <row r="5" spans="1:18" x14ac:dyDescent="0.3">
      <c r="J5" t="b">
        <f>K5=""</f>
        <v>1</v>
      </c>
      <c r="L5" t="b">
        <f>ISBLANK(K5)</f>
        <v>1</v>
      </c>
      <c r="M5" t="str">
        <f>IF(ISBLANK(K5),"Missing data","Data  entered")</f>
        <v>Missing data</v>
      </c>
      <c r="Q5">
        <v>4</v>
      </c>
      <c r="R5" t="e">
        <f t="shared" si="2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Sheet6</vt:lpstr>
      <vt:lpstr>Sheet7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helenogbonda@outlook.com</dc:creator>
  <cp:lastModifiedBy>helenogbonda@outlook.com</cp:lastModifiedBy>
  <dcterms:created xsi:type="dcterms:W3CDTF">2026-04-28T11:10:19Z</dcterms:created>
  <dcterms:modified xsi:type="dcterms:W3CDTF">2026-05-20T22:31:59Z</dcterms:modified>
</cp:coreProperties>
</file>